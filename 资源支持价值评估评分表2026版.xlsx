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805" tabRatio="600" firstSheet="0" activeTab="0" autoFilterDateGrouping="1"/>
  </bookViews>
  <sheets>
    <sheet xmlns:r="http://schemas.openxmlformats.org/officeDocument/2006/relationships" name="会议支持评估表" sheetId="1" state="visible" r:id="rId1"/>
    <sheet xmlns:r="http://schemas.openxmlformats.org/officeDocument/2006/relationships" name="下拉参数" sheetId="2" state="hidden" r:id="rId2"/>
    <sheet xmlns:r="http://schemas.openxmlformats.org/officeDocument/2006/relationships" name="金额评估参数" sheetId="3" state="visible" r:id="rId3"/>
    <sheet xmlns:r="http://schemas.openxmlformats.org/officeDocument/2006/relationships" name="参数说明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3">
    <font>
      <name val="等线"/>
      <charset val="134"/>
      <color theme="1"/>
      <sz val="12"/>
      <scheme val="minor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1" applyAlignment="1">
      <alignment vertical="center"/>
    </xf>
    <xf numFmtId="0" fontId="10" fillId="0" borderId="11" applyAlignment="1">
      <alignment vertical="center"/>
    </xf>
    <xf numFmtId="0" fontId="11" fillId="0" borderId="12" applyAlignment="1">
      <alignment vertical="center"/>
    </xf>
    <xf numFmtId="0" fontId="11" fillId="0" borderId="0" applyAlignment="1">
      <alignment vertical="center"/>
    </xf>
    <xf numFmtId="0" fontId="12" fillId="6" borderId="13" applyAlignment="1">
      <alignment vertical="center"/>
    </xf>
    <xf numFmtId="0" fontId="13" fillId="7" borderId="14" applyAlignment="1">
      <alignment vertical="center"/>
    </xf>
    <xf numFmtId="0" fontId="14" fillId="7" borderId="13" applyAlignment="1">
      <alignment vertical="center"/>
    </xf>
    <xf numFmtId="0" fontId="15" fillId="8" borderId="15" applyAlignment="1">
      <alignment vertical="center"/>
    </xf>
    <xf numFmtId="0" fontId="16" fillId="0" borderId="16" applyAlignment="1">
      <alignment vertical="center"/>
    </xf>
    <xf numFmtId="0" fontId="17" fillId="0" borderId="17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164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 wrapText="1"/>
    </xf>
    <xf numFmtId="164" fontId="2" fillId="0" borderId="5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 wrapText="1"/>
    </xf>
    <xf numFmtId="165" fontId="2" fillId="0" borderId="8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L200"/>
  <sheetViews>
    <sheetView tabSelected="1" workbookViewId="0">
      <pane xSplit="8" topLeftCell="AG1" activePane="topRight" state="frozen"/>
      <selection activeCell="A1" sqref="A1"/>
      <selection pane="topRight" activeCell="AH2" sqref="AH2"/>
    </sheetView>
  </sheetViews>
  <sheetFormatPr baseColWidth="8" defaultColWidth="12" defaultRowHeight="15.75"/>
  <cols>
    <col width="20" customWidth="1" style="1" min="1" max="2"/>
    <col width="20" customWidth="1" style="1" min="4" max="6"/>
    <col width="15.75" customWidth="1" style="1" min="7" max="7"/>
    <col width="20" customWidth="1" style="1" min="8" max="28"/>
    <col hidden="1" width="20" customWidth="1" style="1" min="29" max="32"/>
    <col width="20" customWidth="1" style="1" min="33" max="34"/>
    <col width="27" customWidth="1" style="1" min="35" max="35"/>
    <col width="21" customWidth="1" style="1" min="36" max="36"/>
    <col width="20" customWidth="1" style="1" min="37" max="37"/>
    <col width="55" customWidth="1" style="1" min="38" max="38"/>
  </cols>
  <sheetData>
    <row r="1" ht="27" customHeight="1" s="1">
      <c r="A1" s="5" t="inlineStr">
        <is>
          <t>区域</t>
        </is>
      </c>
      <c r="B1" s="6" t="inlineStr">
        <is>
          <t>地区</t>
        </is>
      </c>
      <c r="C1" s="7" t="inlineStr">
        <is>
          <t>申请人</t>
        </is>
      </c>
      <c r="D1" s="7" t="inlineStr">
        <is>
          <t>医院/会议单位</t>
        </is>
      </c>
      <c r="E1" s="7" t="inlineStr">
        <is>
          <t>KOL</t>
        </is>
      </c>
      <c r="F1" s="7" t="inlineStr">
        <is>
          <t>项目名称</t>
        </is>
      </c>
      <c r="G1" s="6" t="inlineStr">
        <is>
          <t>会议时间</t>
        </is>
      </c>
      <c r="H1" s="6" t="inlineStr">
        <is>
          <t>申请金额(万元)</t>
        </is>
      </c>
      <c r="I1" s="6" t="inlineStr">
        <is>
          <t>会议级别</t>
        </is>
      </c>
      <c r="J1" s="6" t="inlineStr">
        <is>
          <t>会议级别得分</t>
        </is>
      </c>
      <c r="K1" s="6" t="inlineStr">
        <is>
          <t>学术权益</t>
        </is>
      </c>
      <c r="L1" s="6" t="inlineStr">
        <is>
          <t>权益得分</t>
        </is>
      </c>
      <c r="M1" s="6" t="inlineStr">
        <is>
          <t>专家层级</t>
        </is>
      </c>
      <c r="N1" s="6" t="inlineStr">
        <is>
          <t>专家得分</t>
        </is>
      </c>
      <c r="O1" s="6" t="inlineStr">
        <is>
          <t>产品类型</t>
        </is>
      </c>
      <c r="P1" s="6" t="inlineStr">
        <is>
          <t>产品得分</t>
        </is>
      </c>
      <c r="Q1" s="6" t="inlineStr">
        <is>
          <t>医院战略价值</t>
        </is>
      </c>
      <c r="R1" s="6" t="inlineStr">
        <is>
          <t>医院得分</t>
        </is>
      </c>
      <c r="S1" s="6" t="inlineStr">
        <is>
          <t>月均销量(万元)</t>
        </is>
      </c>
      <c r="T1" s="6" t="inlineStr">
        <is>
          <t>销量得分</t>
        </is>
      </c>
      <c r="U1" s="6" t="inlineStr">
        <is>
          <t>销量趋势</t>
        </is>
      </c>
      <c r="V1" s="6" t="inlineStr">
        <is>
          <t>趋势得分</t>
        </is>
      </c>
      <c r="W1" s="6" t="inlineStr">
        <is>
          <t>增长机会</t>
        </is>
      </c>
      <c r="X1" s="6" t="inlineStr">
        <is>
          <t>增长机会得分</t>
        </is>
      </c>
      <c r="Y1" s="6" t="inlineStr">
        <is>
          <t>传播价值等级</t>
        </is>
      </c>
      <c r="Z1" s="6" t="inlineStr">
        <is>
          <t>传播得分</t>
        </is>
      </c>
      <c r="AA1" s="6" t="inlineStr">
        <is>
          <t>执行质量等级</t>
        </is>
      </c>
      <c r="AB1" s="6" t="inlineStr">
        <is>
          <t>执行得分</t>
        </is>
      </c>
      <c r="AC1" s="8" t="inlineStr">
        <is>
          <t>医学价值30分</t>
        </is>
      </c>
      <c r="AD1" s="8" t="inlineStr">
        <is>
          <t>战略价值25分</t>
        </is>
      </c>
      <c r="AE1" s="8" t="inlineStr">
        <is>
          <t>商业价值40分</t>
        </is>
      </c>
      <c r="AF1" s="8" t="inlineStr">
        <is>
          <t>传播价值5分</t>
        </is>
      </c>
      <c r="AG1" s="8" t="inlineStr">
        <is>
          <t>执行质量5分</t>
        </is>
      </c>
      <c r="AH1" s="8" t="inlineStr">
        <is>
          <t>综合评分100分</t>
        </is>
      </c>
      <c r="AI1" s="9" t="inlineStr">
        <is>
          <t>建议支持额度(万元)</t>
        </is>
      </c>
      <c r="AJ1" s="9" t="inlineStr">
        <is>
          <t>建议支持金额(万元)</t>
        </is>
      </c>
      <c r="AK1" s="9" t="inlineStr">
        <is>
          <t>市场部实际支持</t>
        </is>
      </c>
      <c r="AL1" s="9" t="inlineStr">
        <is>
          <t>汇报评价</t>
        </is>
      </c>
    </row>
    <row r="2" ht="72" customHeight="1" s="1">
      <c r="A2" s="10" t="inlineStr">
        <is>
          <t>北区</t>
        </is>
      </c>
      <c r="B2" s="11" t="inlineStr">
        <is>
          <t>河南地区</t>
        </is>
      </c>
      <c r="C2" s="12" t="inlineStr">
        <is>
          <t>李罕</t>
        </is>
      </c>
      <c r="D2" s="13" t="inlineStr">
        <is>
          <t>郑州大学第一附属医院</t>
        </is>
      </c>
      <c r="E2" s="13" t="inlineStr">
        <is>
          <t>李晟磊</t>
        </is>
      </c>
      <c r="F2" s="13" t="inlineStr">
        <is>
          <t>河南省医学会病理学会分会学术会议肿瘤病理新进展研讨会</t>
        </is>
      </c>
      <c r="G2" s="26" t="inlineStr">
        <is>
          <t>2026-06-26</t>
        </is>
      </c>
      <c r="H2" s="11" t="n">
        <v>3</v>
      </c>
      <c r="I2" s="11" t="inlineStr">
        <is>
          <t>省级会议</t>
        </is>
      </c>
      <c r="J2" s="11" t="n">
        <v>6</v>
      </c>
      <c r="K2" s="11" t="inlineStr">
        <is>
          <t>展台</t>
        </is>
      </c>
      <c r="L2" s="11" t="n">
        <v>4</v>
      </c>
      <c r="M2" s="11" t="inlineStr">
        <is>
          <t>省级专家</t>
        </is>
      </c>
      <c r="N2" s="11" t="n">
        <v>7</v>
      </c>
      <c r="O2" s="11" t="inlineStr">
        <is>
          <t>重点增长产品</t>
        </is>
      </c>
      <c r="P2" s="11" t="n">
        <v>8</v>
      </c>
      <c r="Q2" s="11" t="inlineStr">
        <is>
          <t>战略医院维护</t>
        </is>
      </c>
      <c r="R2" s="11" t="n">
        <v>8</v>
      </c>
      <c r="S2" s="11" t="n">
        <v>10</v>
      </c>
      <c r="T2" s="11" t="n">
        <v>4</v>
      </c>
      <c r="U2" s="11" t="inlineStr">
        <is>
          <t>稳定</t>
        </is>
      </c>
      <c r="V2" s="11" t="n">
        <v>3</v>
      </c>
      <c r="W2" s="11" t="inlineStr">
        <is>
          <t>明确新增检测量/科室/医院目标</t>
        </is>
      </c>
      <c r="X2" s="11" t="n">
        <v>10</v>
      </c>
      <c r="Y2" s="11" t="inlineStr">
        <is>
          <t>区域标杆案例</t>
        </is>
      </c>
      <c r="Z2" s="11" t="n">
        <v>3</v>
      </c>
      <c r="AA2" s="11" t="inlineStr">
        <is>
          <t>有目标计划</t>
        </is>
      </c>
      <c r="AB2" s="11" t="n">
        <v>3</v>
      </c>
      <c r="AC2" s="11" t="n">
        <v>17</v>
      </c>
      <c r="AD2" s="11" t="n">
        <v>16</v>
      </c>
      <c r="AE2" s="11" t="n">
        <v>17</v>
      </c>
      <c r="AF2" s="11" t="n">
        <v>3</v>
      </c>
      <c r="AG2" s="11" t="n">
        <v>3</v>
      </c>
      <c r="AH2" s="11" t="n">
        <v>56</v>
      </c>
      <c r="AI2" s="11" t="inlineStr">
        <is>
          <t>2-3万</t>
        </is>
      </c>
      <c r="AJ2" s="11" t="n">
        <v>3</v>
      </c>
      <c r="AK2" s="3" t="inlineStr"/>
      <c r="AL2" s="3" t="inlineStr">
        <is>
          <t>河南省医学会病理学会分会学术会议肿瘤病理新进展研讨会，覆盖北区，河南地区，郑州大学第一附属医院，申请人为李罕，核心 KOL 为李晟磊，会议时间为2026-06-26，会议内容围绕重点增长产品开展医学推广与客户教育。本次评估中，医学价值 17 分、战略价值 16 分、商业价值 17 分、传播价值 3 分、执行质量 3 分，综合评分 56 分，评定为C级项目。结合医院战略价值、产品推广需求及业务增长潜力，建议支持额度为2-3万，建议支持金额 3.0 万元。申请金额 3.0 万元，与建议金额 3.0 万元基本匹配。可谨慎支持，建议压实具体执行方案，优先控制费用与资源投入。</t>
        </is>
      </c>
    </row>
    <row r="3" ht="31" customHeight="1" s="1">
      <c r="A3" s="10" t="inlineStr">
        <is>
          <t>华东一区</t>
        </is>
      </c>
      <c r="B3" s="11" t="inlineStr">
        <is>
          <t>上海</t>
        </is>
      </c>
      <c r="C3" s="12" t="inlineStr">
        <is>
          <t>张三</t>
        </is>
      </c>
      <c r="D3" s="13" t="inlineStr">
        <is>
          <t>区域重点医院</t>
        </is>
      </c>
      <c r="E3" s="13" t="inlineStr">
        <is>
          <t>王教授</t>
        </is>
      </c>
      <c r="F3" s="13" t="inlineStr">
        <is>
          <t>肺癌围术期 MRD 区域学术会</t>
        </is>
      </c>
      <c r="G3" s="11" t="inlineStr"/>
      <c r="H3" s="11" t="n"/>
      <c r="I3" s="11" t="inlineStr">
        <is>
          <t>省级会议</t>
        </is>
      </c>
      <c r="J3" s="11" t="n">
        <v>6</v>
      </c>
      <c r="K3" s="11" t="inlineStr">
        <is>
          <t>展台</t>
        </is>
      </c>
      <c r="L3" s="11" t="n">
        <v>4</v>
      </c>
      <c r="M3" s="11" t="inlineStr">
        <is>
          <t>省级专家</t>
        </is>
      </c>
      <c r="N3" s="11" t="n">
        <v>7</v>
      </c>
      <c r="O3" s="11" t="inlineStr">
        <is>
          <t>重点增长产品</t>
        </is>
      </c>
      <c r="P3" s="11" t="n">
        <v>8</v>
      </c>
      <c r="Q3" s="11" t="inlineStr">
        <is>
          <t>区域重点医院</t>
        </is>
      </c>
      <c r="R3" s="11" t="n">
        <v>6</v>
      </c>
      <c r="S3" s="11" t="n">
        <v>10</v>
      </c>
      <c r="T3" s="11" t="n">
        <v>4</v>
      </c>
      <c r="U3" s="11" t="inlineStr">
        <is>
          <t>稳定</t>
        </is>
      </c>
      <c r="V3" s="11" t="n">
        <v>3</v>
      </c>
      <c r="W3" s="11" t="inlineStr">
        <is>
          <t>明确新增检测量/科室/医院目标</t>
        </is>
      </c>
      <c r="X3" s="11" t="n">
        <v>10</v>
      </c>
      <c r="Y3" s="11" t="inlineStr">
        <is>
          <t>区域宣传</t>
        </is>
      </c>
      <c r="Z3" s="11" t="n">
        <v>2</v>
      </c>
      <c r="AA3" s="11" t="inlineStr">
        <is>
          <t>有目标计划</t>
        </is>
      </c>
      <c r="AB3" s="11" t="n">
        <v>3</v>
      </c>
      <c r="AC3" s="11" t="n">
        <v>17</v>
      </c>
      <c r="AD3" s="11" t="n">
        <v>14</v>
      </c>
      <c r="AE3" s="11" t="n">
        <v>17</v>
      </c>
      <c r="AF3" s="11" t="n">
        <v>2</v>
      </c>
      <c r="AG3" s="11" t="n">
        <v>3</v>
      </c>
      <c r="AH3" s="11" t="n">
        <v>53</v>
      </c>
      <c r="AI3" s="11" t="inlineStr">
        <is>
          <t>2-3万</t>
        </is>
      </c>
      <c r="AJ3" s="11" t="n">
        <v>2.5</v>
      </c>
      <c r="AK3" s="3" t="inlineStr"/>
      <c r="AL3" s="3" t="inlineStr">
        <is>
          <t>肺癌围术期 MRD 区域学术会，覆盖华东一区，上海，区域重点医院，申请人为张三，核心 KOL 为王教授，会议内容包括：围绕重点产品开展区域医生教育，支持会议现场展台与项目宣讲，推动新增检测量和科室覆盖。。本次评估中，医学价值 17 分、战略价值 14 分、商业价值 17 分、传播价值 2 分、执行质量 3 分，综合评分 53 分，评定为C-项目。结合医院战略价值、产品推广需求及业务增长潜力，建议支持额度为2-3万，建议支持金额 2.5 万元。申请金额未填写，可先按建议金额测算。建议低额度或选择性支持，重点核实业务增长和医院战略价值。</t>
        </is>
      </c>
    </row>
    <row r="4" ht="108" customHeight="1" s="1">
      <c r="A4" s="15" t="inlineStr">
        <is>
          <t>南区</t>
        </is>
      </c>
      <c r="B4" s="16" t="inlineStr">
        <is>
          <t>广州一区</t>
        </is>
      </c>
      <c r="C4" s="12" t="inlineStr">
        <is>
          <t>唐宇君</t>
        </is>
      </c>
      <c r="D4" s="13" t="inlineStr">
        <is>
          <t>南方医院</t>
        </is>
      </c>
      <c r="E4" s="17" t="inlineStr">
        <is>
          <t>血液科</t>
        </is>
      </c>
      <c r="F4" s="13" t="inlineStr">
        <is>
          <t>淋巴瘤巡讲项目</t>
        </is>
      </c>
      <c r="G4" s="27" t="inlineStr">
        <is>
          <t>2026-07-17</t>
        </is>
      </c>
      <c r="H4" s="16" t="n"/>
      <c r="I4" s="16" t="inlineStr">
        <is>
          <t>省级会议</t>
        </is>
      </c>
      <c r="J4" s="11" t="n">
        <v>6</v>
      </c>
      <c r="K4" s="16" t="inlineStr">
        <is>
          <t>展台</t>
        </is>
      </c>
      <c r="L4" s="11" t="n">
        <v>4</v>
      </c>
      <c r="M4" s="16" t="inlineStr">
        <is>
          <t>省级专家</t>
        </is>
      </c>
      <c r="N4" s="11" t="n">
        <v>7</v>
      </c>
      <c r="O4" s="16" t="inlineStr">
        <is>
          <t>重点增长产品</t>
        </is>
      </c>
      <c r="P4" s="11" t="n">
        <v>8</v>
      </c>
      <c r="Q4" s="16" t="inlineStr">
        <is>
          <t>区域重点医院</t>
        </is>
      </c>
      <c r="R4" s="11" t="n">
        <v>6</v>
      </c>
      <c r="S4" s="16" t="n">
        <v>20</v>
      </c>
      <c r="T4" s="11" t="n">
        <v>8</v>
      </c>
      <c r="U4" s="16" t="inlineStr">
        <is>
          <t>稳定</t>
        </is>
      </c>
      <c r="V4" s="11" t="n">
        <v>3</v>
      </c>
      <c r="W4" s="16" t="inlineStr">
        <is>
          <t>明确新增检测量/科室/医院目标</t>
        </is>
      </c>
      <c r="X4" s="11" t="n">
        <v>10</v>
      </c>
      <c r="Y4" s="16" t="inlineStr">
        <is>
          <t>区域宣传</t>
        </is>
      </c>
      <c r="Z4" s="11" t="n">
        <v>2</v>
      </c>
      <c r="AA4" s="16" t="inlineStr">
        <is>
          <t>有目标计划</t>
        </is>
      </c>
      <c r="AB4" s="11" t="n">
        <v>3</v>
      </c>
      <c r="AC4" s="16" t="n">
        <v>17</v>
      </c>
      <c r="AD4" s="16" t="n">
        <v>14</v>
      </c>
      <c r="AE4" s="16" t="n">
        <v>21</v>
      </c>
      <c r="AF4" s="16" t="n">
        <v>2</v>
      </c>
      <c r="AG4" s="16" t="n">
        <v>3</v>
      </c>
      <c r="AH4" s="16" t="n">
        <v>57</v>
      </c>
      <c r="AI4" s="16" t="inlineStr">
        <is>
          <t>2-3万</t>
        </is>
      </c>
      <c r="AJ4" s="16" t="n">
        <v>3</v>
      </c>
      <c r="AK4" s="19" t="n"/>
      <c r="AL4" s="19" t="inlineStr">
        <is>
          <t>淋巴瘤巡讲项目，覆盖南区，广州一区，南方医院，申请人为唐宇君，核心 KOL 为血液科，会议时间为2026-07-17，会议内容围绕重点增长产品开展医学推广与客户教育。本次评估中，医学价值 17 分、战略价值 14 分、商业价值 21 分、传播价值 2 分、执行质量 3 分，综合评分 57 分，评定为C级项目。结合医院战略价值、产品推广需求及业务增长潜力，建议支持额度为2-3万，建议支持金额 3.0 万元。申请金额未填写，可先按建议金额测算。可谨慎支持，建议压实具体执行方案，优先控制费用与资源投入。</t>
        </is>
      </c>
    </row>
    <row r="5" ht="108" customHeight="1" s="1">
      <c r="A5" s="20" t="inlineStr">
        <is>
          <t>南区</t>
        </is>
      </c>
      <c r="B5" s="21" t="inlineStr">
        <is>
          <t>广州一区</t>
        </is>
      </c>
      <c r="C5" s="12" t="inlineStr">
        <is>
          <t>唐宇君</t>
        </is>
      </c>
      <c r="D5" s="13" t="inlineStr">
        <is>
          <t>南方医院</t>
        </is>
      </c>
      <c r="E5" s="13" t="inlineStr">
        <is>
          <t>血液科</t>
        </is>
      </c>
      <c r="F5" s="13" t="inlineStr">
        <is>
          <t>淋巴瘤巡讲项目</t>
        </is>
      </c>
      <c r="G5" s="28" t="inlineStr">
        <is>
          <t>2026-07-17</t>
        </is>
      </c>
      <c r="H5" s="21" t="n"/>
      <c r="I5" s="21" t="inlineStr">
        <is>
          <t>省级会议</t>
        </is>
      </c>
      <c r="J5" s="11" t="n">
        <v>6</v>
      </c>
      <c r="K5" s="21" t="inlineStr">
        <is>
          <t>展台</t>
        </is>
      </c>
      <c r="L5" s="11" t="n">
        <v>4</v>
      </c>
      <c r="M5" s="21" t="inlineStr">
        <is>
          <t>省级专家</t>
        </is>
      </c>
      <c r="N5" s="11" t="n">
        <v>7</v>
      </c>
      <c r="O5" s="21" t="inlineStr">
        <is>
          <t>重点增长产品</t>
        </is>
      </c>
      <c r="P5" s="11" t="n">
        <v>8</v>
      </c>
      <c r="Q5" s="21" t="inlineStr">
        <is>
          <t>区域重点医院</t>
        </is>
      </c>
      <c r="R5" s="11" t="n">
        <v>6</v>
      </c>
      <c r="S5" s="21" t="n">
        <v>20</v>
      </c>
      <c r="T5" s="11" t="n">
        <v>8</v>
      </c>
      <c r="U5" s="21" t="inlineStr">
        <is>
          <t>稳定</t>
        </is>
      </c>
      <c r="V5" s="11" t="n">
        <v>3</v>
      </c>
      <c r="W5" s="21" t="inlineStr">
        <is>
          <t>明确新增检测量/科室/医院目标</t>
        </is>
      </c>
      <c r="X5" s="11" t="n">
        <v>10</v>
      </c>
      <c r="Y5" s="21" t="inlineStr">
        <is>
          <t>区域宣传</t>
        </is>
      </c>
      <c r="Z5" s="11" t="n">
        <v>2</v>
      </c>
      <c r="AA5" s="21" t="inlineStr">
        <is>
          <t>有目标计划</t>
        </is>
      </c>
      <c r="AB5" s="11" t="n">
        <v>3</v>
      </c>
      <c r="AC5" s="21" t="n">
        <v>17</v>
      </c>
      <c r="AD5" s="21" t="n">
        <v>14</v>
      </c>
      <c r="AE5" s="21" t="n">
        <v>21</v>
      </c>
      <c r="AF5" s="21" t="n">
        <v>2</v>
      </c>
      <c r="AG5" s="21" t="n">
        <v>3</v>
      </c>
      <c r="AH5" s="21" t="n">
        <v>57</v>
      </c>
      <c r="AI5" s="21" t="inlineStr">
        <is>
          <t>2-3万</t>
        </is>
      </c>
      <c r="AJ5" s="21" t="n">
        <v>3</v>
      </c>
      <c r="AK5" s="23" t="inlineStr"/>
      <c r="AL5" s="23" t="inlineStr">
        <is>
          <t>淋巴瘤巡讲项目，覆盖南区，广州一区，南方医院，申请人为唐宇君，核心 KOL 为血液科，会议时间为2026-07-17，会议内容围绕重点增长产品开展医学推广与客户教育。本次评估中，医学价值 17 分、战略价值 14 分、商业价值 21 分、传播价值 2 分、执行质量 3 分，综合评分 57 分，评定为C级项目。结合医院战略价值、产品推广需求及业务增长潜力，建议支持额度为2-3万，建议支持金额 3.0 万元。申请金额未填写，可先按建议金额测算。可谨慎支持，建议压实具体执行方案，优先控制费用与资源投入。</t>
        </is>
      </c>
    </row>
    <row r="6" ht="121.5" customHeight="1" s="1">
      <c r="A6" s="20" t="inlineStr">
        <is>
          <t>华东一区</t>
        </is>
      </c>
      <c r="B6" s="21" t="inlineStr">
        <is>
          <t>上海</t>
        </is>
      </c>
      <c r="C6" s="12" t="inlineStr">
        <is>
          <t>张三</t>
        </is>
      </c>
      <c r="D6" s="13" t="inlineStr">
        <is>
          <t>区域重点医院</t>
        </is>
      </c>
      <c r="E6" s="13" t="inlineStr">
        <is>
          <t>王教授</t>
        </is>
      </c>
      <c r="F6" s="13" t="inlineStr">
        <is>
          <t>肺癌围术期 MRD 区域学术会</t>
        </is>
      </c>
      <c r="G6" s="21" t="inlineStr"/>
      <c r="H6" s="21" t="n"/>
      <c r="I6" s="21" t="inlineStr">
        <is>
          <t>省级会议</t>
        </is>
      </c>
      <c r="J6" s="11" t="n">
        <v>6</v>
      </c>
      <c r="K6" s="21" t="inlineStr">
        <is>
          <t>展台</t>
        </is>
      </c>
      <c r="L6" s="11" t="n">
        <v>4</v>
      </c>
      <c r="M6" s="21" t="inlineStr">
        <is>
          <t>省级专家</t>
        </is>
      </c>
      <c r="N6" s="11" t="n">
        <v>7</v>
      </c>
      <c r="O6" s="21" t="inlineStr">
        <is>
          <t>重点增长产品</t>
        </is>
      </c>
      <c r="P6" s="11" t="n">
        <v>8</v>
      </c>
      <c r="Q6" s="21" t="inlineStr">
        <is>
          <t>区域重点医院</t>
        </is>
      </c>
      <c r="R6" s="11" t="n">
        <v>6</v>
      </c>
      <c r="S6" s="21" t="n">
        <v>10</v>
      </c>
      <c r="T6" s="11" t="n">
        <v>4</v>
      </c>
      <c r="U6" s="21" t="inlineStr">
        <is>
          <t>稳定</t>
        </is>
      </c>
      <c r="V6" s="11" t="n">
        <v>3</v>
      </c>
      <c r="W6" s="21" t="inlineStr">
        <is>
          <t>明确新增检测量/科室/医院目标</t>
        </is>
      </c>
      <c r="X6" s="11" t="n">
        <v>10</v>
      </c>
      <c r="Y6" s="21" t="inlineStr">
        <is>
          <t>区域宣传</t>
        </is>
      </c>
      <c r="Z6" s="11" t="n">
        <v>2</v>
      </c>
      <c r="AA6" s="21" t="inlineStr">
        <is>
          <t>有目标计划</t>
        </is>
      </c>
      <c r="AB6" s="11" t="n">
        <v>3</v>
      </c>
      <c r="AC6" s="21" t="n">
        <v>17</v>
      </c>
      <c r="AD6" s="21" t="n">
        <v>14</v>
      </c>
      <c r="AE6" s="21" t="n">
        <v>17</v>
      </c>
      <c r="AF6" s="21" t="n">
        <v>2</v>
      </c>
      <c r="AG6" s="21" t="n">
        <v>3</v>
      </c>
      <c r="AH6" s="21" t="n">
        <v>53</v>
      </c>
      <c r="AI6" s="21" t="inlineStr">
        <is>
          <t>2-3万</t>
        </is>
      </c>
      <c r="AJ6" s="21" t="n">
        <v>2.5</v>
      </c>
      <c r="AK6" s="23" t="inlineStr"/>
      <c r="AL6" s="23" t="inlineStr">
        <is>
          <t>肺癌围术期 MRD 区域学术会，覆盖华东一区，上海，区域重点医院，申请人为张三，核心 KOL 为王教授，会议内容包括：围绕重点产品开展区域医生教育，支持会议现场展台与项目宣讲，推动新增检测量和科室覆盖。。本次评估中，医学价值 17 分、战略价值 14 分、商业价值 17 分、传播价值 2 分、执行质量 3 分，综合评分 53 分，评定为C-项目。结合医院战略价值、产品推广需求及业务增长潜力，建议支持额度为2-3万，建议支持金额 2.5 万元。申请金额未填写，可先按建议金额测算。建议低额度或选择性支持，重点核实业务增长和医院战略价值。</t>
        </is>
      </c>
    </row>
    <row r="7" ht="121.5" customHeight="1" s="1">
      <c r="A7" s="20" t="inlineStr">
        <is>
          <t>华东一区</t>
        </is>
      </c>
      <c r="B7" s="21" t="inlineStr">
        <is>
          <t>上海</t>
        </is>
      </c>
      <c r="C7" s="12" t="inlineStr">
        <is>
          <t>张三</t>
        </is>
      </c>
      <c r="D7" s="13" t="inlineStr">
        <is>
          <t>区域重点医院</t>
        </is>
      </c>
      <c r="E7" s="13" t="inlineStr">
        <is>
          <t>王教授</t>
        </is>
      </c>
      <c r="F7" s="13" t="inlineStr">
        <is>
          <t>肺癌围术期 MRD 区域学术会</t>
        </is>
      </c>
      <c r="G7" s="21" t="inlineStr"/>
      <c r="H7" s="21" t="n"/>
      <c r="I7" s="21" t="inlineStr">
        <is>
          <t>省级会议</t>
        </is>
      </c>
      <c r="J7" s="11" t="n">
        <v>6</v>
      </c>
      <c r="K7" s="21" t="inlineStr">
        <is>
          <t>展台</t>
        </is>
      </c>
      <c r="L7" s="11" t="n">
        <v>4</v>
      </c>
      <c r="M7" s="21" t="inlineStr">
        <is>
          <t>省级专家</t>
        </is>
      </c>
      <c r="N7" s="11" t="n">
        <v>7</v>
      </c>
      <c r="O7" s="21" t="inlineStr">
        <is>
          <t>重点增长产品</t>
        </is>
      </c>
      <c r="P7" s="11" t="n">
        <v>8</v>
      </c>
      <c r="Q7" s="21" t="inlineStr">
        <is>
          <t>区域重点医院</t>
        </is>
      </c>
      <c r="R7" s="11" t="n">
        <v>6</v>
      </c>
      <c r="S7" s="21" t="n">
        <v>10</v>
      </c>
      <c r="T7" s="11" t="n">
        <v>4</v>
      </c>
      <c r="U7" s="21" t="inlineStr">
        <is>
          <t>稳定</t>
        </is>
      </c>
      <c r="V7" s="11" t="n">
        <v>3</v>
      </c>
      <c r="W7" s="21" t="inlineStr">
        <is>
          <t>明确新增检测量/科室/医院目标</t>
        </is>
      </c>
      <c r="X7" s="11" t="n">
        <v>10</v>
      </c>
      <c r="Y7" s="21" t="inlineStr">
        <is>
          <t>区域宣传</t>
        </is>
      </c>
      <c r="Z7" s="11" t="n">
        <v>2</v>
      </c>
      <c r="AA7" s="21" t="inlineStr">
        <is>
          <t>有目标计划</t>
        </is>
      </c>
      <c r="AB7" s="11" t="n">
        <v>3</v>
      </c>
      <c r="AC7" s="21" t="n">
        <v>17</v>
      </c>
      <c r="AD7" s="21" t="n">
        <v>14</v>
      </c>
      <c r="AE7" s="21" t="n">
        <v>17</v>
      </c>
      <c r="AF7" s="21" t="n">
        <v>2</v>
      </c>
      <c r="AG7" s="21" t="n">
        <v>3</v>
      </c>
      <c r="AH7" s="21" t="n">
        <v>53</v>
      </c>
      <c r="AI7" s="21" t="inlineStr">
        <is>
          <t>2-3万</t>
        </is>
      </c>
      <c r="AJ7" s="21" t="n">
        <v>2.5</v>
      </c>
      <c r="AK7" s="23" t="inlineStr"/>
      <c r="AL7" s="23" t="inlineStr">
        <is>
          <t>肺癌围术期 MRD 区域学术会，覆盖华东一区，上海，区域重点医院，申请人为张三，核心 KOL 为王教授，会议内容包括：围绕重点产品开展区域医生教育，支持会议现场展台与项目宣讲，推动新增检测量和科室覆盖。。本次评估中，医学价值 17 分、战略价值 14 分、商业价值 17 分、传播价值 2 分、执行质量 3 分，综合评分 53 分，评定为C-项目。结合医院战略价值、产品推广需求及业务增长潜力，建议支持额度为2-3万，建议支持金额 2.5 万元。申请金额未填写，可先按建议金额测算。建议低额度或选择性支持，重点核实业务增长和医院战略价值。</t>
        </is>
      </c>
    </row>
    <row r="8" ht="121.5" customHeight="1" s="1">
      <c r="A8" s="20" t="inlineStr">
        <is>
          <t>华东一区</t>
        </is>
      </c>
      <c r="B8" s="21" t="inlineStr">
        <is>
          <t>上海</t>
        </is>
      </c>
      <c r="C8" s="12" t="inlineStr">
        <is>
          <t>张三</t>
        </is>
      </c>
      <c r="D8" s="13" t="inlineStr">
        <is>
          <t>区域重点医院</t>
        </is>
      </c>
      <c r="E8" s="13" t="inlineStr">
        <is>
          <t>王教授</t>
        </is>
      </c>
      <c r="F8" s="13" t="inlineStr">
        <is>
          <t>肺癌围术期 MRD 区域学术会</t>
        </is>
      </c>
      <c r="G8" s="21" t="inlineStr"/>
      <c r="H8" s="21" t="n"/>
      <c r="I8" s="21" t="inlineStr">
        <is>
          <t>省级会议</t>
        </is>
      </c>
      <c r="J8" s="11" t="n">
        <v>6</v>
      </c>
      <c r="K8" s="21" t="inlineStr">
        <is>
          <t>展台</t>
        </is>
      </c>
      <c r="L8" s="11" t="n">
        <v>4</v>
      </c>
      <c r="M8" s="21" t="inlineStr">
        <is>
          <t>省级专家</t>
        </is>
      </c>
      <c r="N8" s="11" t="n">
        <v>7</v>
      </c>
      <c r="O8" s="21" t="inlineStr">
        <is>
          <t>重点增长产品</t>
        </is>
      </c>
      <c r="P8" s="11" t="n">
        <v>8</v>
      </c>
      <c r="Q8" s="21" t="inlineStr">
        <is>
          <t>区域重点医院</t>
        </is>
      </c>
      <c r="R8" s="11" t="n">
        <v>6</v>
      </c>
      <c r="S8" s="21" t="n">
        <v>10</v>
      </c>
      <c r="T8" s="11" t="n">
        <v>4</v>
      </c>
      <c r="U8" s="21" t="inlineStr">
        <is>
          <t>稳定</t>
        </is>
      </c>
      <c r="V8" s="11" t="n">
        <v>3</v>
      </c>
      <c r="W8" s="21" t="inlineStr">
        <is>
          <t>明确新增检测量/科室/医院目标</t>
        </is>
      </c>
      <c r="X8" s="11" t="n">
        <v>10</v>
      </c>
      <c r="Y8" s="21" t="inlineStr">
        <is>
          <t>区域宣传</t>
        </is>
      </c>
      <c r="Z8" s="11" t="n">
        <v>2</v>
      </c>
      <c r="AA8" s="21" t="inlineStr">
        <is>
          <t>有目标计划</t>
        </is>
      </c>
      <c r="AB8" s="11" t="n">
        <v>3</v>
      </c>
      <c r="AC8" s="21" t="n">
        <v>17</v>
      </c>
      <c r="AD8" s="21" t="n">
        <v>14</v>
      </c>
      <c r="AE8" s="21" t="n">
        <v>17</v>
      </c>
      <c r="AF8" s="21" t="n">
        <v>2</v>
      </c>
      <c r="AG8" s="21" t="n">
        <v>3</v>
      </c>
      <c r="AH8" s="21" t="n">
        <v>53</v>
      </c>
      <c r="AI8" s="21" t="inlineStr">
        <is>
          <t>2-3万</t>
        </is>
      </c>
      <c r="AJ8" s="21" t="n">
        <v>2.5</v>
      </c>
      <c r="AK8" s="23" t="inlineStr"/>
      <c r="AL8" s="23" t="inlineStr">
        <is>
          <t>肺癌围术期 MRD 区域学术会，覆盖华东一区，上海，区域重点医院，申请人为张三，核心 KOL 为王教授，会议内容包括：围绕重点产品开展区域医生教育，支持会议现场展台与项目宣讲，推动新增检测量和科室覆盖。。本次评估中，医学价值 17 分、战略价值 14 分、商业价值 17 分、传播价值 2 分、执行质量 3 分，综合评分 53 分，评定为C-项目。结合医院战略价值、产品推广需求及业务增长潜力，建议支持额度为2-3万，建议支持金额 2.5 万元。申请金额未填写，可先按建议金额测算。建议低额度或选择性支持，重点核实业务增长和医院战略价值。</t>
        </is>
      </c>
    </row>
    <row r="9" ht="121.5" customHeight="1" s="1">
      <c r="A9" s="20" t="inlineStr">
        <is>
          <t>华东一区</t>
        </is>
      </c>
      <c r="B9" s="21" t="inlineStr">
        <is>
          <t>上海</t>
        </is>
      </c>
      <c r="C9" s="12" t="inlineStr">
        <is>
          <t>张三</t>
        </is>
      </c>
      <c r="D9" s="13" t="inlineStr">
        <is>
          <t>区域重点医院</t>
        </is>
      </c>
      <c r="E9" s="13" t="inlineStr">
        <is>
          <t>王教授</t>
        </is>
      </c>
      <c r="F9" s="13" t="inlineStr">
        <is>
          <t>肺癌围术期 MRD 区域学术会</t>
        </is>
      </c>
      <c r="G9" s="21" t="inlineStr"/>
      <c r="H9" s="21" t="n"/>
      <c r="I9" s="21" t="inlineStr">
        <is>
          <t>省级会议</t>
        </is>
      </c>
      <c r="J9" s="11" t="n">
        <v>6</v>
      </c>
      <c r="K9" s="21" t="inlineStr">
        <is>
          <t>展台</t>
        </is>
      </c>
      <c r="L9" s="11" t="n">
        <v>4</v>
      </c>
      <c r="M9" s="21" t="inlineStr">
        <is>
          <t>省级专家</t>
        </is>
      </c>
      <c r="N9" s="11" t="n">
        <v>7</v>
      </c>
      <c r="O9" s="21" t="inlineStr">
        <is>
          <t>重点增长产品</t>
        </is>
      </c>
      <c r="P9" s="11" t="n">
        <v>8</v>
      </c>
      <c r="Q9" s="21" t="inlineStr">
        <is>
          <t>区域重点医院</t>
        </is>
      </c>
      <c r="R9" s="11" t="n">
        <v>6</v>
      </c>
      <c r="S9" s="21" t="n">
        <v>10</v>
      </c>
      <c r="T9" s="11" t="n">
        <v>4</v>
      </c>
      <c r="U9" s="21" t="inlineStr">
        <is>
          <t>稳定</t>
        </is>
      </c>
      <c r="V9" s="11" t="n">
        <v>3</v>
      </c>
      <c r="W9" s="21" t="inlineStr">
        <is>
          <t>明确新增检测量/科室/医院目标</t>
        </is>
      </c>
      <c r="X9" s="11" t="n">
        <v>10</v>
      </c>
      <c r="Y9" s="21" t="inlineStr">
        <is>
          <t>区域宣传</t>
        </is>
      </c>
      <c r="Z9" s="11" t="n">
        <v>2</v>
      </c>
      <c r="AA9" s="21" t="inlineStr">
        <is>
          <t>有目标计划</t>
        </is>
      </c>
      <c r="AB9" s="11" t="n">
        <v>3</v>
      </c>
      <c r="AC9" s="21" t="n">
        <v>17</v>
      </c>
      <c r="AD9" s="21" t="n">
        <v>14</v>
      </c>
      <c r="AE9" s="21" t="n">
        <v>17</v>
      </c>
      <c r="AF9" s="21" t="n">
        <v>2</v>
      </c>
      <c r="AG9" s="21" t="n">
        <v>3</v>
      </c>
      <c r="AH9" s="21" t="n">
        <v>53</v>
      </c>
      <c r="AI9" s="21" t="inlineStr">
        <is>
          <t>2-3万</t>
        </is>
      </c>
      <c r="AJ9" s="21" t="n">
        <v>2.5</v>
      </c>
      <c r="AK9" s="23" t="inlineStr"/>
      <c r="AL9" s="23" t="inlineStr">
        <is>
          <t>肺癌围术期 MRD 区域学术会，覆盖华东一区，上海，区域重点医院，申请人为张三，核心 KOL 为王教授，会议内容包括：围绕重点产品开展区域医生教育，支持会议现场展台与项目宣讲，推动新增检测量和科室覆盖。。本次评估中，医学价值 17 分、战略价值 14 分、商业价值 17 分、传播价值 2 分、执行质量 3 分，综合评分 53 分，评定为C-项目。结合医院战略价值、产品推广需求及业务增长潜力，建议支持额度为2-3万，建议支持金额 2.5 万元。申请金额未填写，可先按建议金额测算。建议低额度或选择性支持，重点核实业务增长和医院战略价值。</t>
        </is>
      </c>
    </row>
    <row r="10" ht="121.5" customHeight="1" s="1">
      <c r="A10" s="20" t="inlineStr">
        <is>
          <t>华东一区</t>
        </is>
      </c>
      <c r="B10" s="21" t="inlineStr">
        <is>
          <t>上海</t>
        </is>
      </c>
      <c r="C10" s="12" t="inlineStr">
        <is>
          <t>张三</t>
        </is>
      </c>
      <c r="D10" s="13" t="inlineStr">
        <is>
          <t>区域重点医院</t>
        </is>
      </c>
      <c r="E10" s="13" t="inlineStr">
        <is>
          <t>王教授</t>
        </is>
      </c>
      <c r="F10" s="13" t="inlineStr">
        <is>
          <t>肺癌围术期 MRD 区域学术会</t>
        </is>
      </c>
      <c r="G10" s="28" t="inlineStr"/>
      <c r="H10" s="21" t="n"/>
      <c r="I10" s="21" t="inlineStr">
        <is>
          <t>省级会议</t>
        </is>
      </c>
      <c r="J10" s="11" t="n">
        <v>6</v>
      </c>
      <c r="K10" s="21" t="inlineStr">
        <is>
          <t>展台</t>
        </is>
      </c>
      <c r="L10" s="11" t="n">
        <v>4</v>
      </c>
      <c r="M10" s="21" t="inlineStr">
        <is>
          <t>省级专家</t>
        </is>
      </c>
      <c r="N10" s="11" t="n">
        <v>7</v>
      </c>
      <c r="O10" s="21" t="inlineStr">
        <is>
          <t>重点增长产品</t>
        </is>
      </c>
      <c r="P10" s="11" t="n">
        <v>8</v>
      </c>
      <c r="Q10" s="21" t="inlineStr">
        <is>
          <t>区域重点医院</t>
        </is>
      </c>
      <c r="R10" s="11" t="n">
        <v>6</v>
      </c>
      <c r="S10" s="21" t="n">
        <v>10</v>
      </c>
      <c r="T10" s="11" t="n">
        <v>4</v>
      </c>
      <c r="U10" s="21" t="inlineStr">
        <is>
          <t>稳定</t>
        </is>
      </c>
      <c r="V10" s="11" t="n">
        <v>3</v>
      </c>
      <c r="W10" s="21" t="inlineStr">
        <is>
          <t>明确新增检测量/科室/医院目标</t>
        </is>
      </c>
      <c r="X10" s="11" t="n">
        <v>10</v>
      </c>
      <c r="Y10" s="21" t="inlineStr">
        <is>
          <t>区域宣传</t>
        </is>
      </c>
      <c r="Z10" s="11" t="n">
        <v>2</v>
      </c>
      <c r="AA10" s="21" t="inlineStr">
        <is>
          <t>有目标计划</t>
        </is>
      </c>
      <c r="AB10" s="11" t="n">
        <v>3</v>
      </c>
      <c r="AC10" s="21" t="n">
        <v>17</v>
      </c>
      <c r="AD10" s="21" t="n">
        <v>14</v>
      </c>
      <c r="AE10" s="21" t="n">
        <v>17</v>
      </c>
      <c r="AF10" s="21" t="n">
        <v>2</v>
      </c>
      <c r="AG10" s="21" t="n">
        <v>3</v>
      </c>
      <c r="AH10" s="21" t="n">
        <v>53</v>
      </c>
      <c r="AI10" s="21" t="inlineStr">
        <is>
          <t>2-3万</t>
        </is>
      </c>
      <c r="AJ10" s="21" t="n">
        <v>2.5</v>
      </c>
      <c r="AK10" s="23" t="inlineStr"/>
      <c r="AL10" s="23" t="inlineStr">
        <is>
          <t>肺癌围术期 MRD 区域学术会，覆盖华东一区，上海，区域重点医院，申请人为张三，核心 KOL 为王教授，会议内容包括：围绕重点产品开展区域医生教育，支持会议现场展台与项目宣讲，推动新增检测量和科室覆盖。。本次评估中，医学价值 17 分、战略价值 14 分、商业价值 17 分、传播价值 2 分、执行质量 3 分，综合评分 53 分，评定为C-项目。结合医院战略价值、产品推广需求及业务增长潜力，建议支持额度为2-3万，建议支持金额 2.5 万元。申请金额未填写，可先按建议金额测算。建议低额度或选择性支持，重点核实业务增长和医院战略价值。</t>
        </is>
      </c>
    </row>
    <row r="11" ht="121.5" customHeight="1" s="1">
      <c r="A11" s="20" t="inlineStr">
        <is>
          <t>南区</t>
        </is>
      </c>
      <c r="B11" s="21" t="inlineStr">
        <is>
          <t>广州一区</t>
        </is>
      </c>
      <c r="C11" s="12" t="inlineStr">
        <is>
          <t>唐宇君</t>
        </is>
      </c>
      <c r="D11" s="13" t="inlineStr">
        <is>
          <t>南方医院</t>
        </is>
      </c>
      <c r="E11" s="13" t="inlineStr">
        <is>
          <t>冯茹</t>
        </is>
      </c>
      <c r="F11" s="13" t="inlineStr">
        <is>
          <t>淋巴瘤学术年会</t>
        </is>
      </c>
      <c r="G11" s="28" t="inlineStr">
        <is>
          <t>2026-07-17</t>
        </is>
      </c>
      <c r="H11" s="21" t="n">
        <v>3</v>
      </c>
      <c r="I11" s="21" t="inlineStr">
        <is>
          <t>省级会议</t>
        </is>
      </c>
      <c r="J11" s="11" t="n">
        <v>6</v>
      </c>
      <c r="K11" s="21" t="inlineStr">
        <is>
          <t>展台</t>
        </is>
      </c>
      <c r="L11" s="11" t="n">
        <v>4</v>
      </c>
      <c r="M11" s="21" t="inlineStr">
        <is>
          <t>省级专家</t>
        </is>
      </c>
      <c r="N11" s="11" t="n">
        <v>7</v>
      </c>
      <c r="O11" s="21" t="inlineStr">
        <is>
          <t>重点增长产品</t>
        </is>
      </c>
      <c r="P11" s="11" t="n">
        <v>8</v>
      </c>
      <c r="Q11" s="21" t="inlineStr">
        <is>
          <t>区域重点医院</t>
        </is>
      </c>
      <c r="R11" s="11" t="n">
        <v>6</v>
      </c>
      <c r="S11" s="21" t="n">
        <v>20</v>
      </c>
      <c r="T11" s="11" t="n">
        <v>8</v>
      </c>
      <c r="U11" s="21" t="inlineStr">
        <is>
          <t>稳定</t>
        </is>
      </c>
      <c r="V11" s="11" t="n">
        <v>3</v>
      </c>
      <c r="W11" s="21" t="inlineStr">
        <is>
          <t>明确新增检测量/科室/医院目标</t>
        </is>
      </c>
      <c r="X11" s="11" t="n">
        <v>10</v>
      </c>
      <c r="Y11" s="21" t="inlineStr">
        <is>
          <t>区域宣传</t>
        </is>
      </c>
      <c r="Z11" s="11" t="n">
        <v>2</v>
      </c>
      <c r="AA11" s="21" t="inlineStr">
        <is>
          <t>有目标计划</t>
        </is>
      </c>
      <c r="AB11" s="11" t="n">
        <v>3</v>
      </c>
      <c r="AC11" s="21" t="n">
        <v>17</v>
      </c>
      <c r="AD11" s="21" t="n">
        <v>14</v>
      </c>
      <c r="AE11" s="21" t="n">
        <v>21</v>
      </c>
      <c r="AF11" s="21" t="n">
        <v>2</v>
      </c>
      <c r="AG11" s="21" t="n">
        <v>3</v>
      </c>
      <c r="AH11" s="21" t="n">
        <v>57</v>
      </c>
      <c r="AI11" s="21" t="inlineStr">
        <is>
          <t>2-3万</t>
        </is>
      </c>
      <c r="AJ11" s="21" t="n">
        <v>3</v>
      </c>
      <c r="AK11" s="23" t="inlineStr"/>
      <c r="AL11" s="23" t="inlineStr">
        <is>
          <t>淋巴瘤学术年会，覆盖南区，广州一区，南方医院，申请人为唐宇君，核心 KOL 为冯茹，会议时间为2026-07-17，会议内容围绕重点增长产品开展医学推广与客户教育。本次评估中，医学价值 17 分、战略价值 14 分、商业价值 21 分、传播价值 2 分、执行质量 3 分，综合评分 57 分，评定为C级项目。结合医院战略价值、产品推广需求及业务增长潜力，建议支持额度为2-3万，建议支持金额 3.0 万元。申请金额 3.0 万元，与建议金额 3.0 万元基本匹配。可谨慎支持，建议压实具体执行方案，优先控制费用与资源投入。</t>
        </is>
      </c>
    </row>
    <row r="12" ht="94.5" customHeight="1" s="1">
      <c r="A12" s="20" t="inlineStr">
        <is>
          <t>东二区</t>
        </is>
      </c>
      <c r="B12" s="21" t="inlineStr">
        <is>
          <t>杭州三区</t>
        </is>
      </c>
      <c r="C12" s="12" t="inlineStr">
        <is>
          <t>张开振</t>
        </is>
      </c>
      <c r="D12" s="13" t="inlineStr">
        <is>
          <t>浙江省抗癌协会主办、浙江大学医学院附属第二医院承办</t>
        </is>
      </c>
      <c r="E12" s="13" t="inlineStr">
        <is>
          <t>范军强</t>
        </is>
      </c>
      <c r="F12" s="13" t="inlineStr">
        <is>
          <t>2026第九届广济胸外论</t>
        </is>
      </c>
      <c r="G12" s="29" t="inlineStr">
        <is>
          <t>2026-07-17</t>
        </is>
      </c>
      <c r="H12" s="21" t="n">
        <v>10</v>
      </c>
      <c r="I12" s="21" t="inlineStr">
        <is>
          <t>国家级会议</t>
        </is>
      </c>
      <c r="J12" s="11" t="n">
        <v>8</v>
      </c>
      <c r="K12" s="21" t="inlineStr">
        <is>
          <t>展台</t>
        </is>
      </c>
      <c r="L12" s="11" t="n">
        <v>4</v>
      </c>
      <c r="M12" s="21" t="inlineStr">
        <is>
          <t>省级专家</t>
        </is>
      </c>
      <c r="N12" s="11" t="n">
        <v>7</v>
      </c>
      <c r="O12" s="21" t="inlineStr">
        <is>
          <t>战略核心产品</t>
        </is>
      </c>
      <c r="P12" s="11" t="n">
        <v>10</v>
      </c>
      <c r="Q12" s="21" t="inlineStr">
        <is>
          <t>区域重点医院</t>
        </is>
      </c>
      <c r="R12" s="11" t="n">
        <v>6</v>
      </c>
      <c r="S12" s="21" t="n">
        <v>30</v>
      </c>
      <c r="T12" s="11" t="n">
        <v>15</v>
      </c>
      <c r="U12" s="21" t="inlineStr">
        <is>
          <t>稳定</t>
        </is>
      </c>
      <c r="V12" s="11" t="n">
        <v>3</v>
      </c>
      <c r="W12" s="21" t="inlineStr">
        <is>
          <t>客户维护</t>
        </is>
      </c>
      <c r="X12" s="11" t="n">
        <v>3</v>
      </c>
      <c r="Y12" s="21" t="inlineStr">
        <is>
          <t>区域宣传</t>
        </is>
      </c>
      <c r="Z12" s="11" t="n">
        <v>2</v>
      </c>
      <c r="AA12" s="21" t="inlineStr">
        <is>
          <t>有目标计划</t>
        </is>
      </c>
      <c r="AB12" s="11" t="n">
        <v>3</v>
      </c>
      <c r="AC12" s="21" t="n">
        <v>19</v>
      </c>
      <c r="AD12" s="21" t="n">
        <v>16</v>
      </c>
      <c r="AE12" s="21" t="n">
        <v>21</v>
      </c>
      <c r="AF12" s="21" t="n">
        <v>2</v>
      </c>
      <c r="AG12" s="21" t="n">
        <v>3</v>
      </c>
      <c r="AH12" s="21" t="n">
        <v>61</v>
      </c>
      <c r="AI12" s="21" t="inlineStr">
        <is>
          <t>3-4万</t>
        </is>
      </c>
      <c r="AJ12" s="21" t="n">
        <v>3.5</v>
      </c>
      <c r="AK12" s="23" t="inlineStr"/>
      <c r="AL12" s="23" t="inlineStr">
        <is>
          <t>2026第九届广济胸外论，覆盖东二区，杭州三区，浙江省抗癌协会主办、浙江大学医学院附属第二医院承办，申请人为张开振，核心 KOL 为范军强，会议时间为2026-07-17，会议内容包括：关于东二区-张开振申请的“2026第九届广济胸外论坛”，由浙江省抗癌协会主办、浙江大学医学院附属第二医院承办，邀请国内外行业内知名专家学者做学术报告和交流，人员大概300人，申请市场部支持10w
【合作背景】范军强主任浙二胸外科科主任，滨江滨区主任，肺癌年手术量2600台，目前院内全用世和一号，对公司很支持。该会议是他一年一次最重要会议。邀请国内玩胸外肿瘤专家学术讨论交流。另外竞品燃石，臻和马上进院，对我们也会有一些冲击。
【参会权益】核心位置1.8米展台、企业宣传资料放入报道资料袋
【销量趋势】近半年销量稳定在30万左右
【会议目标】
目前销量：31万（月均60多例患者）；销量目标：35万/月
稳住当前销量，扛住竞品冲击，把院外部分转换院内。本次评估中，医学价值 19 分、战略价值 16 分、商业价值 21 分、传播价值 2 分、执行质量 3 分，综合评分 61 分，评定为C+项目。结合医院战略价值、产品推广需求及业务增长潜力，建议支持额度为3-4万，建议支持金额 3.5 万元。申请金额 10.0 万元，高于建议金额 3.5 万元，建议补充更强权益或压缩预算。可谨慎支持，建议压实具体执行方案，优先控制费用与资源投入。</t>
        </is>
      </c>
    </row>
    <row r="13">
      <c r="A13" s="20" t="inlineStr">
        <is>
          <t>东二区</t>
        </is>
      </c>
      <c r="B13" s="21" t="inlineStr">
        <is>
          <t>杭州三区</t>
        </is>
      </c>
      <c r="C13" s="12" t="inlineStr">
        <is>
          <t>张开振</t>
        </is>
      </c>
      <c r="D13" s="13" t="inlineStr">
        <is>
          <t>浙江省抗癌协会主办、浙江大学医学院附属第二医院承办</t>
        </is>
      </c>
      <c r="E13" s="13" t="inlineStr">
        <is>
          <t>范军强</t>
        </is>
      </c>
      <c r="F13" s="13" t="inlineStr">
        <is>
          <t>2026第九届广济胸外论</t>
        </is>
      </c>
      <c r="G13" s="29" t="inlineStr">
        <is>
          <t>2026-07-17</t>
        </is>
      </c>
      <c r="H13" s="21" t="n">
        <v>10</v>
      </c>
      <c r="I13" s="21" t="inlineStr">
        <is>
          <t>国家级会议</t>
        </is>
      </c>
      <c r="J13" s="11" t="n">
        <v>8</v>
      </c>
      <c r="K13" s="21" t="inlineStr">
        <is>
          <t>展台</t>
        </is>
      </c>
      <c r="L13" s="11" t="n">
        <v>4</v>
      </c>
      <c r="M13" s="21" t="inlineStr">
        <is>
          <t>省级专家</t>
        </is>
      </c>
      <c r="N13" s="11" t="n">
        <v>7</v>
      </c>
      <c r="O13" s="21" t="inlineStr">
        <is>
          <t>战略核心产品</t>
        </is>
      </c>
      <c r="P13" s="11" t="n">
        <v>10</v>
      </c>
      <c r="Q13" s="21" t="inlineStr">
        <is>
          <t>区域重点医院</t>
        </is>
      </c>
      <c r="R13" s="11" t="n">
        <v>6</v>
      </c>
      <c r="S13" s="21" t="n">
        <v>30</v>
      </c>
      <c r="T13" s="11" t="n">
        <v>15</v>
      </c>
      <c r="U13" s="21" t="inlineStr">
        <is>
          <t>稳定</t>
        </is>
      </c>
      <c r="V13" s="11" t="n">
        <v>3</v>
      </c>
      <c r="W13" s="21" t="inlineStr">
        <is>
          <t>客户维护</t>
        </is>
      </c>
      <c r="X13" s="11" t="n">
        <v>3</v>
      </c>
      <c r="Y13" s="21" t="inlineStr">
        <is>
          <t>区域宣传</t>
        </is>
      </c>
      <c r="Z13" s="11" t="n">
        <v>2</v>
      </c>
      <c r="AA13" s="21" t="inlineStr">
        <is>
          <t>有目标计划</t>
        </is>
      </c>
      <c r="AB13" s="11" t="n">
        <v>3</v>
      </c>
      <c r="AC13" s="21" t="n">
        <v>19</v>
      </c>
      <c r="AD13" s="21" t="n">
        <v>16</v>
      </c>
      <c r="AE13" s="21" t="n">
        <v>21</v>
      </c>
      <c r="AF13" s="21" t="n">
        <v>2</v>
      </c>
      <c r="AG13" s="21" t="n">
        <v>3</v>
      </c>
      <c r="AH13" s="21" t="n">
        <v>61</v>
      </c>
      <c r="AI13" s="21" t="inlineStr">
        <is>
          <t>3-4万</t>
        </is>
      </c>
      <c r="AJ13" s="21" t="n">
        <v>3.5</v>
      </c>
      <c r="AK13" s="23" t="inlineStr"/>
      <c r="AL13" s="23" t="inlineStr">
        <is>
          <t>2026第九届广济胸外论，覆盖东二区，杭州三区，浙江省抗癌协会主办、浙江大学医学院附属第二医院承办，申请人为张开振，核心 KOL 为范军强，会议时间为2026-07-17，会议内容包括：关于东二区-张开振申请的“2026第九届广济胸外论坛”，由浙江省抗癌协会主办、浙江大学医学院附属第二医院承办，邀请国内外行业内知名专家学者做学术报告和交流，人员大概300人，申请市场部支持10w
【合作背景】范军强主任浙二胸外科科主任，滨江滨区主任，肺癌年手术量2600台，目前院内全用世和一号，对公司很支持。该会议是他一年一次最重要会议。邀请国内玩胸外肿瘤专家学术讨论交流。另外竞品燃石，臻和马上进院，对我们也会有一些冲击。
【参会权益】核心位置1.8米展台、企业宣传资料放入报道资料袋
【销量趋势】近半年销量稳定在30万左右
【会议目标】
目前销量：31万（月均60多例患者）；销量目标：35万/月
稳住当前销量，扛住竞品冲击，把院外部分转换院内。本次评估中，医学价值 19 分、战略价值 16 分、商业价值 21 分、传播价值 2 分、执行质量 3 分，综合评分 61 分，评定为C+项目。结合医院战略价值、产品推广需求及业务增长潜力，建议支持额度为3-4万，建议支持金额 3.5 万元。申请金额 10.0 万元，高于建议金额 3.5 万元，建议补充更强权益或压缩预算。可谨慎支持，建议压实具体执行方案，优先控制费用与资源投入。</t>
        </is>
      </c>
    </row>
    <row r="14">
      <c r="A14" s="20" t="inlineStr">
        <is>
          <t>东二区</t>
        </is>
      </c>
      <c r="B14" s="21" t="inlineStr">
        <is>
          <t>杭州三区</t>
        </is>
      </c>
      <c r="C14" s="12" t="inlineStr">
        <is>
          <t>张开振</t>
        </is>
      </c>
      <c r="D14" s="13" t="inlineStr">
        <is>
          <t>浙江省抗癌协会主办、浙江大学医学院附属第二医院承办</t>
        </is>
      </c>
      <c r="E14" s="13" t="inlineStr">
        <is>
          <t>范军强</t>
        </is>
      </c>
      <c r="F14" s="13" t="inlineStr">
        <is>
          <t>2026第九届广济胸外论</t>
        </is>
      </c>
      <c r="G14" s="29" t="inlineStr">
        <is>
          <t>2026-07-17</t>
        </is>
      </c>
      <c r="H14" s="21" t="n">
        <v>10</v>
      </c>
      <c r="I14" s="21" t="inlineStr">
        <is>
          <t>国家级会议</t>
        </is>
      </c>
      <c r="J14" s="11" t="n">
        <v>8</v>
      </c>
      <c r="K14" s="21" t="inlineStr">
        <is>
          <t>展台</t>
        </is>
      </c>
      <c r="L14" s="11" t="n">
        <v>4</v>
      </c>
      <c r="M14" s="21" t="inlineStr">
        <is>
          <t>省级专家</t>
        </is>
      </c>
      <c r="N14" s="11" t="n">
        <v>7</v>
      </c>
      <c r="O14" s="21" t="inlineStr">
        <is>
          <t>战略核心产品</t>
        </is>
      </c>
      <c r="P14" s="11" t="n">
        <v>10</v>
      </c>
      <c r="Q14" s="21" t="inlineStr">
        <is>
          <t>区域重点医院</t>
        </is>
      </c>
      <c r="R14" s="11" t="n">
        <v>6</v>
      </c>
      <c r="S14" s="21" t="n">
        <v>30</v>
      </c>
      <c r="T14" s="11" t="n">
        <v>15</v>
      </c>
      <c r="U14" s="21" t="inlineStr">
        <is>
          <t>稳定</t>
        </is>
      </c>
      <c r="V14" s="11" t="n">
        <v>3</v>
      </c>
      <c r="W14" s="21" t="inlineStr">
        <is>
          <t>客户维护</t>
        </is>
      </c>
      <c r="X14" s="11" t="n">
        <v>3</v>
      </c>
      <c r="Y14" s="21" t="inlineStr">
        <is>
          <t>区域宣传</t>
        </is>
      </c>
      <c r="Z14" s="11" t="n">
        <v>2</v>
      </c>
      <c r="AA14" s="21" t="inlineStr">
        <is>
          <t>有目标计划</t>
        </is>
      </c>
      <c r="AB14" s="11" t="n">
        <v>3</v>
      </c>
      <c r="AC14" s="21" t="n">
        <v>19</v>
      </c>
      <c r="AD14" s="21" t="n">
        <v>16</v>
      </c>
      <c r="AE14" s="21" t="n">
        <v>21</v>
      </c>
      <c r="AF14" s="21" t="n">
        <v>2</v>
      </c>
      <c r="AG14" s="21" t="n">
        <v>3</v>
      </c>
      <c r="AH14" s="21" t="n">
        <v>61</v>
      </c>
      <c r="AI14" s="21" t="inlineStr">
        <is>
          <t>3-4万</t>
        </is>
      </c>
      <c r="AJ14" s="21" t="n">
        <v>3.5</v>
      </c>
      <c r="AK14" s="23" t="inlineStr"/>
      <c r="AL14" s="23" t="inlineStr">
        <is>
          <t>2026第九届广济胸外论，覆盖东二区，杭州三区，浙江省抗癌协会主办、浙江大学医学院附属第二医院承办，申请人为张开振，核心 KOL 为范军强，会议时间为2026-07-17，会议内容包括：关于东二区-张开振申请的“2026第九届广济胸外论坛”，由浙江省抗癌协会主办、浙江大学医学院附属第二医院承办，邀请国内外行业内知名专家学者做学术报告和交流，人员大概300人，申请市场部支持10w
【合作背景】范军强主任浙二胸外科科主任，滨江滨区主任，肺癌年手术量2600台，目前院内全用世和一号，对公司很支持。该会议是他一年一次最重要会议。邀请国内玩胸外肿瘤专家学术讨论交流。另外竞品燃石，臻和马上进院，对我们也会有一些冲击。
【参会权益】核心位置1.8米展台、企业宣传资料放入报道资料袋
【销量趋势】近半年销量稳定在30万左右
【会议目标】
目前销量：31万（月均60多例患者）；销量目标：35万/月
稳住当前销量，扛住竞品冲击，把院外部分转换院内。本次评估中，医学价值 19 分、战略价值 16 分、商业价值 21 分、传播价值 2 分、执行质量 3 分，综合评分 61 分，评定为C+项目。结合医院战略价值、产品推广需求及业务增长潜力，建议支持额度为3-4万，建议支持金额 3.5 万元。申请金额 10.0 万元，高于建议金额 3.5 万元，建议补充更强权益或压缩预算。可谨慎支持，建议压实具体执行方案，优先控制费用与资源投入。</t>
        </is>
      </c>
    </row>
    <row r="15">
      <c r="A15" s="20" t="inlineStr">
        <is>
          <t>东二区</t>
        </is>
      </c>
      <c r="B15" s="21" t="inlineStr">
        <is>
          <t>杭州三区</t>
        </is>
      </c>
      <c r="C15" s="12" t="inlineStr">
        <is>
          <t>张开振</t>
        </is>
      </c>
      <c r="D15" s="13" t="inlineStr">
        <is>
          <t>浙江省抗癌协会主办、浙江大学医学院附属第二医院承办</t>
        </is>
      </c>
      <c r="E15" s="13" t="inlineStr">
        <is>
          <t>范军强</t>
        </is>
      </c>
      <c r="F15" s="13" t="inlineStr">
        <is>
          <t>2026第九届广济胸外论</t>
        </is>
      </c>
      <c r="G15" s="29" t="inlineStr">
        <is>
          <t>2026-07-17</t>
        </is>
      </c>
      <c r="H15" s="21" t="n">
        <v>10</v>
      </c>
      <c r="I15" s="21" t="inlineStr">
        <is>
          <t>国家级会议</t>
        </is>
      </c>
      <c r="J15" s="11" t="n">
        <v>8</v>
      </c>
      <c r="K15" s="21" t="inlineStr">
        <is>
          <t>展台</t>
        </is>
      </c>
      <c r="L15" s="11" t="n">
        <v>4</v>
      </c>
      <c r="M15" s="21" t="inlineStr">
        <is>
          <t>省级专家</t>
        </is>
      </c>
      <c r="N15" s="11" t="n">
        <v>7</v>
      </c>
      <c r="O15" s="21" t="inlineStr">
        <is>
          <t>战略核心产品</t>
        </is>
      </c>
      <c r="P15" s="11" t="n">
        <v>10</v>
      </c>
      <c r="Q15" s="21" t="inlineStr">
        <is>
          <t>区域重点医院</t>
        </is>
      </c>
      <c r="R15" s="11" t="n">
        <v>6</v>
      </c>
      <c r="S15" s="21" t="n">
        <v>30</v>
      </c>
      <c r="T15" s="11" t="n">
        <v>15</v>
      </c>
      <c r="U15" s="21" t="inlineStr">
        <is>
          <t>稳定</t>
        </is>
      </c>
      <c r="V15" s="11" t="n">
        <v>3</v>
      </c>
      <c r="W15" s="21" t="inlineStr">
        <is>
          <t>客户维护</t>
        </is>
      </c>
      <c r="X15" s="11" t="n">
        <v>3</v>
      </c>
      <c r="Y15" s="21" t="inlineStr">
        <is>
          <t>区域宣传</t>
        </is>
      </c>
      <c r="Z15" s="11" t="n">
        <v>2</v>
      </c>
      <c r="AA15" s="21" t="inlineStr">
        <is>
          <t>有目标计划</t>
        </is>
      </c>
      <c r="AB15" s="11" t="n">
        <v>3</v>
      </c>
      <c r="AC15" s="21" t="n">
        <v>19</v>
      </c>
      <c r="AD15" s="21" t="n">
        <v>16</v>
      </c>
      <c r="AE15" s="21" t="n">
        <v>21</v>
      </c>
      <c r="AF15" s="21" t="n">
        <v>2</v>
      </c>
      <c r="AG15" s="21" t="n">
        <v>3</v>
      </c>
      <c r="AH15" s="21" t="n">
        <v>61</v>
      </c>
      <c r="AI15" s="21" t="inlineStr">
        <is>
          <t>3-4万</t>
        </is>
      </c>
      <c r="AJ15" s="21" t="n">
        <v>3.5</v>
      </c>
      <c r="AK15" s="23" t="inlineStr"/>
      <c r="AL15" s="23" t="inlineStr">
        <is>
          <t>2026第九届广济胸外论，覆盖东二区，杭州三区，浙江省抗癌协会主办、浙江大学医学院附属第二医院承办，申请人为张开振，核心 KOL 为范军强，会议时间为2026-07-17，会议内容包括：关于东二区-张开振申请的“2026第九届广济胸外论坛”，由浙江省抗癌协会主办、浙江大学医学院附属第二医院承办，邀请国内外行业内知名专家学者做学术报告和交流，人员大概300人，申请市场部支持10w
【合作背景】范军强主任浙二胸外科科主任，滨江滨区主任，肺癌年手术量2600台，目前院内全用世和一号，对公司很支持。该会议是他一年一次最重要会议。邀请国内玩胸外肿瘤专家学术讨论交流。另外竞品燃石，臻和马上进院，对我们也会有一些冲击。
【参会权益】核心位置1.8米展台、企业宣传资料放入报道资料袋
【销量趋势】近半年销量稳定在30万左右
【会议目标】
目前销量：31万（月均60多例患者）；销量目标：35万/月
稳住当前销量，扛住竞品冲击，把院外部分转换院内。本次评估中，医学价值 19 分、战略价值 16 分、商业价值 21 分、传播价值 2 分、执行质量 3 分，综合评分 61 分，评定为C+项目。结合医院战略价值、产品推广需求及业务增长潜力，建议支持额度为3-4万，建议支持金额 3.5 万元。申请金额 10.0 万元，高于建议金额 3.5 万元，建议补充更强权益或压缩预算。可谨慎支持，建议压实具体执行方案，优先控制费用与资源投入。</t>
        </is>
      </c>
    </row>
    <row r="16">
      <c r="A16" s="20" t="inlineStr">
        <is>
          <t>东二区</t>
        </is>
      </c>
      <c r="B16" s="21" t="inlineStr">
        <is>
          <t>闽赣区</t>
        </is>
      </c>
      <c r="C16" s="12" t="inlineStr">
        <is>
          <t>孙希</t>
        </is>
      </c>
      <c r="D16" s="13" t="inlineStr">
        <is>
          <t>南大二附院</t>
        </is>
      </c>
      <c r="E16" s="13" t="inlineStr">
        <is>
          <t>分子实验室邹叶青</t>
        </is>
      </c>
      <c r="F16" s="13" t="inlineStr">
        <is>
          <t>中国医师协会医学遗传医师分会</t>
        </is>
      </c>
      <c r="G16" s="29" t="inlineStr">
        <is>
          <t>2026-11-12</t>
        </is>
      </c>
      <c r="H16" s="21" t="n">
        <v>4</v>
      </c>
      <c r="I16" s="21" t="inlineStr">
        <is>
          <t>省级会议</t>
        </is>
      </c>
      <c r="J16" s="11" t="n">
        <v>6</v>
      </c>
      <c r="K16" s="21" t="inlineStr">
        <is>
          <t>物料展示</t>
        </is>
      </c>
      <c r="L16" s="11" t="n">
        <v>2</v>
      </c>
      <c r="M16" s="21" t="inlineStr">
        <is>
          <t>省级专家</t>
        </is>
      </c>
      <c r="N16" s="11" t="n">
        <v>7</v>
      </c>
      <c r="O16" s="21" t="inlineStr">
        <is>
          <t>重点增长产品</t>
        </is>
      </c>
      <c r="P16" s="11" t="n">
        <v>8</v>
      </c>
      <c r="Q16" s="21" t="inlineStr">
        <is>
          <t>区域重点医院</t>
        </is>
      </c>
      <c r="R16" s="11" t="n">
        <v>6</v>
      </c>
      <c r="S16" s="21" t="n">
        <v>60</v>
      </c>
      <c r="T16" s="11" t="n">
        <v>25</v>
      </c>
      <c r="U16" s="21" t="inlineStr">
        <is>
          <t>稳定</t>
        </is>
      </c>
      <c r="V16" s="11" t="n">
        <v>3</v>
      </c>
      <c r="W16" s="21" t="inlineStr">
        <is>
          <t>推动产品落地</t>
        </is>
      </c>
      <c r="X16" s="11" t="n">
        <v>8</v>
      </c>
      <c r="Y16" s="21" t="inlineStr">
        <is>
          <t>区域宣传</t>
        </is>
      </c>
      <c r="Z16" s="11" t="n">
        <v>2</v>
      </c>
      <c r="AA16" s="21" t="inlineStr">
        <is>
          <t>有目标计划</t>
        </is>
      </c>
      <c r="AB16" s="11" t="n">
        <v>3</v>
      </c>
      <c r="AC16" s="21" t="n">
        <v>15</v>
      </c>
      <c r="AD16" s="21" t="n">
        <v>14</v>
      </c>
      <c r="AE16" s="21" t="n">
        <v>36</v>
      </c>
      <c r="AF16" s="21" t="n">
        <v>2</v>
      </c>
      <c r="AG16" s="21" t="n">
        <v>3</v>
      </c>
      <c r="AH16" s="21" t="n">
        <v>70</v>
      </c>
      <c r="AI16" s="21" t="inlineStr">
        <is>
          <t>4-5万</t>
        </is>
      </c>
      <c r="AJ16" s="21" t="n">
        <v>4.5</v>
      </c>
      <c r="AK16" s="23" t="inlineStr"/>
      <c r="AL16" s="23" t="inlineStr">
        <is>
          <t>中国医师协会医学遗传医师分会，覆盖东二区，闽赣区，南大二附院，申请人为孙希，核心 KOL 为分子实验室邹叶青，会议时间为2026-11-12，会议内容包括：中国医师协会医学遗传医师分会，参会人员300左右。覆盖肿瘤，遗传，病理相关专家。会议赞助南大二附院，合作3年，业绩逐年增长，期望突破700W/年。目前院内196 、脑胶、血液肿瘤，196占比80%，血液20%。会议合作科室分子实验室，科室每年会议一次，要求硬性必须参与并支持，来维护与科室合作。目前月销量55W—60W/月，希望通过入院NTRK和TMB，把院内产品线补充完整，从而增长销量。。本次评估中，医学价值 15 分、战略价值 14 分、商业价值 36 分、传播价值 2 分、执行质量 3 分，综合评分 70 分，评定为B级项目。结合医院战略价值、产品推广需求及业务增长潜力，建议支持额度为4-5万，建议支持金额 4.5 万元。申请金额 4.0 万元，与建议金额 4.5 万元基本匹配。建议支持，但需明确预算边界和可量化产出目标。</t>
        </is>
      </c>
    </row>
    <row r="17">
      <c r="A17" s="20" t="inlineStr">
        <is>
          <t>北区</t>
        </is>
      </c>
      <c r="B17" s="21" t="inlineStr">
        <is>
          <t>北区KA</t>
        </is>
      </c>
      <c r="C17" s="12" t="inlineStr">
        <is>
          <t>沙倩</t>
        </is>
      </c>
      <c r="D17" s="13" t="inlineStr">
        <is>
          <t>山东大学齐鲁医院</t>
        </is>
      </c>
      <c r="E17" s="13" t="inlineStr">
        <is>
          <t>高鹏</t>
        </is>
      </c>
      <c r="F17" s="13" t="inlineStr">
        <is>
          <t>山东省医学会2026年病理学分会病理读片会</t>
        </is>
      </c>
      <c r="G17" s="29" t="inlineStr">
        <is>
          <t>2026-08-14</t>
        </is>
      </c>
      <c r="H17" s="21" t="n">
        <v>3</v>
      </c>
      <c r="I17" s="21" t="inlineStr">
        <is>
          <t>省级会议</t>
        </is>
      </c>
      <c r="J17" s="11" t="n">
        <v>6</v>
      </c>
      <c r="K17" s="21" t="inlineStr">
        <is>
          <t>专题讲座/病例分享</t>
        </is>
      </c>
      <c r="L17" s="11" t="n">
        <v>8</v>
      </c>
      <c r="M17" s="21" t="inlineStr">
        <is>
          <t>国家级专家</t>
        </is>
      </c>
      <c r="N17" s="11" t="n">
        <v>10</v>
      </c>
      <c r="O17" s="21" t="inlineStr">
        <is>
          <t>成熟产品</t>
        </is>
      </c>
      <c r="P17" s="11" t="n">
        <v>5</v>
      </c>
      <c r="Q17" s="21" t="inlineStr">
        <is>
          <t>区域重点医院</t>
        </is>
      </c>
      <c r="R17" s="11" t="n">
        <v>6</v>
      </c>
      <c r="S17" s="21" t="n">
        <v>25</v>
      </c>
      <c r="T17" s="11" t="n">
        <v>10</v>
      </c>
      <c r="U17" s="21" t="inlineStr">
        <is>
          <t>增长≥20%</t>
        </is>
      </c>
      <c r="V17" s="11" t="n">
        <v>5</v>
      </c>
      <c r="W17" s="21" t="inlineStr">
        <is>
          <t>明确新增检测量/科室/医院目标</t>
        </is>
      </c>
      <c r="X17" s="11" t="n">
        <v>10</v>
      </c>
      <c r="Y17" s="21" t="inlineStr">
        <is>
          <t>区域宣传</t>
        </is>
      </c>
      <c r="Z17" s="11" t="n">
        <v>2</v>
      </c>
      <c r="AA17" s="21" t="inlineStr">
        <is>
          <t>简单执行</t>
        </is>
      </c>
      <c r="AB17" s="11" t="n">
        <v>1</v>
      </c>
      <c r="AC17" s="21" t="n">
        <v>24</v>
      </c>
      <c r="AD17" s="21" t="n">
        <v>11</v>
      </c>
      <c r="AE17" s="21" t="n">
        <v>25</v>
      </c>
      <c r="AF17" s="21" t="n">
        <v>2</v>
      </c>
      <c r="AG17" s="21" t="n">
        <v>1</v>
      </c>
      <c r="AH17" s="21" t="n">
        <v>63</v>
      </c>
      <c r="AI17" s="21" t="inlineStr">
        <is>
          <t>3-4万</t>
        </is>
      </c>
      <c r="AJ17" s="21" t="n">
        <v>3.5</v>
      </c>
      <c r="AK17" s="23" t="inlineStr"/>
      <c r="AL17" s="23" t="inlineStr">
        <is>
          <t>山东省医学会2026年病理学分会病理读片会，覆盖北区，北区KA，山东大学齐鲁医院，申请人为沙倩，核心 KOL 为高鹏，会议时间为2026-08-14，会议内容包括：本次会议由山东省医学会主办，旨在提高病理学专业人员技术水平，通过主旨报告、教学示范、读片会等形式展现病理学新进展、新规范、新理念。预计将有来自全国各地的200名专家同道参加本次会议。。本次评估中，医学价值 24 分、战略价值 11 分、商业价值 25 分、传播价值 2 分、执行质量 1 分，综合评分 63 分，评定为C+项目。结合医院战略价值、产品推广需求及业务增长潜力，建议支持额度为3-4万，建议支持金额 3.5 万元。申请金额 3.0 万元，与建议金额 3.5 万元基本匹配。可谨慎支持，建议压实具体执行方案，优先控制费用与资源投入。</t>
        </is>
      </c>
    </row>
    <row r="18">
      <c r="A18" s="20" t="n"/>
      <c r="B18" s="21" t="n"/>
      <c r="C18" s="12" t="n"/>
      <c r="D18" s="13" t="n"/>
      <c r="E18" s="13" t="n"/>
      <c r="F18" s="13" t="n"/>
      <c r="G18" s="21" t="n"/>
      <c r="H18" s="21" t="n"/>
      <c r="I18" s="21" t="n"/>
      <c r="J18" s="11">
        <f>IF(I18="国际会议",10,IF(I18="国家级会议",8,IF(I18="省级会议",6,IF(I18="市级会议",3,IF(I18="院级会议",1,0)))))</f>
        <v/>
      </c>
      <c r="K18" s="21" t="n"/>
      <c r="L18" s="11">
        <f>IF(K18="大会报告/卫星会",10,IF(K18="专题讲座/病例分享",8,IF(K18="圆桌讨论",6,IF(K18="展台",4,IF(K18="物料展示",2,0)))))</f>
        <v/>
      </c>
      <c r="M18" s="21" t="n"/>
      <c r="N18" s="11">
        <f>IF(M18="国家级专家",10,IF(M18="省级专家",7,IF(M18="区域专家",5,IF(M18="普通专家",3,0))))</f>
        <v/>
      </c>
      <c r="O18" s="21" t="n"/>
      <c r="P18" s="11">
        <f>IF(O18="战略核心产品",10,IF(O18="重点增长产品",8,IF(O18="成熟产品",5,3)))</f>
        <v/>
      </c>
      <c r="Q18" s="21" t="n"/>
      <c r="R18" s="11">
        <f>IF(Q18="新医院突破/进院节点",10,IF(Q18="战略医院维护",8,IF(Q18="区域重点医院",6,IF(Q18="普通合作医院",3,0))))</f>
        <v/>
      </c>
      <c r="S18" s="21" t="n"/>
      <c r="T18" s="11">
        <f>IF(S18&gt;=50,20,IF(S18&gt;=40,16,IF(S18&gt;=30,12,IF(S18&gt;=20,8,IF(S18&gt;=10,4,1)))))</f>
        <v/>
      </c>
      <c r="U18" s="21" t="n"/>
      <c r="V18" s="11">
        <f>IF(U18="增长≥20%",5,IF(U18="增长0-20%",4,IF(U18="稳定",3,IF(U18="下降",1,0))))</f>
        <v/>
      </c>
      <c r="W18" s="21" t="n"/>
      <c r="X18" s="11">
        <f>IF(W18="明确新增检测量/科室/医院目标",10,IF(W18="推动产品落地",8,IF(W18="医生教育提升",6,IF(W18="客户维护",3,0))))</f>
        <v/>
      </c>
      <c r="Y18" s="21" t="n"/>
      <c r="Z18" s="11">
        <f>IF(Y18="全国案例素材",5,IF(Y18="区域标杆案例",3,IF(Y18="区域宣传",2,IF(Y18="普通曝光",1,0))))</f>
        <v/>
      </c>
      <c r="AA18" s="21" t="n"/>
      <c r="AB18" s="11">
        <f>IF(AA18="目标+预算+ROI复盘",5,IF(AA18="有目标计划",3,IF(AA18="简单执行",1,0)))</f>
        <v/>
      </c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3" t="n"/>
      <c r="AL18" s="23" t="n"/>
    </row>
    <row r="19">
      <c r="A19" s="20" t="n"/>
      <c r="B19" s="21" t="n"/>
      <c r="C19" s="12" t="n"/>
      <c r="D19" s="13" t="n"/>
      <c r="E19" s="13" t="n"/>
      <c r="F19" s="13" t="n"/>
      <c r="G19" s="21" t="n"/>
      <c r="H19" s="21" t="n"/>
      <c r="I19" s="21" t="n"/>
      <c r="J19" s="11">
        <f>IF(I19="国际会议",10,IF(I19="国家级会议",8,IF(I19="省级会议",6,IF(I19="市级会议",3,IF(I19="院级会议",1,0)))))</f>
        <v/>
      </c>
      <c r="K19" s="21" t="n"/>
      <c r="L19" s="11">
        <f>IF(K19="大会报告/卫星会",10,IF(K19="专题讲座/病例分享",8,IF(K19="圆桌讨论",6,IF(K19="展台",4,IF(K19="物料展示",2,0)))))</f>
        <v/>
      </c>
      <c r="M19" s="21" t="n"/>
      <c r="N19" s="11">
        <f>IF(M19="国家级专家",10,IF(M19="省级专家",7,IF(M19="区域专家",5,IF(M19="普通专家",3,0))))</f>
        <v/>
      </c>
      <c r="O19" s="21" t="n"/>
      <c r="P19" s="11">
        <f>IF(O19="战略核心产品",10,IF(O19="重点增长产品",8,IF(O19="成熟产品",5,3)))</f>
        <v/>
      </c>
      <c r="Q19" s="21" t="n"/>
      <c r="R19" s="11">
        <f>IF(Q19="新医院突破/进院节点",10,IF(Q19="战略医院维护",8,IF(Q19="区域重点医院",6,IF(Q19="普通合作医院",3,0))))</f>
        <v/>
      </c>
      <c r="S19" s="21" t="n"/>
      <c r="T19" s="11">
        <f>IF(S19&gt;=50,20,IF(S19&gt;=40,16,IF(S19&gt;=30,12,IF(S19&gt;=20,8,IF(S19&gt;=10,4,1)))))</f>
        <v/>
      </c>
      <c r="U19" s="21" t="n"/>
      <c r="V19" s="11">
        <f>IF(U19="增长≥20%",5,IF(U19="增长0-20%",4,IF(U19="稳定",3,IF(U19="下降",1,0))))</f>
        <v/>
      </c>
      <c r="W19" s="21" t="n"/>
      <c r="X19" s="11">
        <f>IF(W19="明确新增检测量/科室/医院目标",10,IF(W19="推动产品落地",8,IF(W19="医生教育提升",6,IF(W19="客户维护",3,0))))</f>
        <v/>
      </c>
      <c r="Y19" s="21" t="n"/>
      <c r="Z19" s="11">
        <f>IF(Y19="全国案例素材",5,IF(Y19="区域标杆案例",3,IF(Y19="区域宣传",2,IF(Y19="普通曝光",1,0))))</f>
        <v/>
      </c>
      <c r="AA19" s="21" t="n"/>
      <c r="AB19" s="11">
        <f>IF(AA19="目标+预算+ROI复盘",5,IF(AA19="有目标计划",3,IF(AA19="简单执行",1,0)))</f>
        <v/>
      </c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3" t="n"/>
      <c r="AL19" s="23" t="n"/>
    </row>
    <row r="20">
      <c r="A20" s="20" t="n"/>
      <c r="B20" s="21" t="n"/>
      <c r="C20" s="12" t="n"/>
      <c r="D20" s="13" t="n"/>
      <c r="E20" s="13" t="n"/>
      <c r="F20" s="13" t="n"/>
      <c r="G20" s="21" t="n"/>
      <c r="H20" s="21" t="n"/>
      <c r="I20" s="21" t="n"/>
      <c r="J20" s="11">
        <f>IF(I20="国际会议",10,IF(I20="国家级会议",8,IF(I20="省级会议",6,IF(I20="市级会议",3,IF(I20="院级会议",1,0)))))</f>
        <v/>
      </c>
      <c r="K20" s="21" t="n"/>
      <c r="L20" s="11">
        <f>IF(K20="大会报告/卫星会",10,IF(K20="专题讲座/病例分享",8,IF(K20="圆桌讨论",6,IF(K20="展台",4,IF(K20="物料展示",2,0)))))</f>
        <v/>
      </c>
      <c r="M20" s="21" t="n"/>
      <c r="N20" s="11">
        <f>IF(M20="国家级专家",10,IF(M20="省级专家",7,IF(M20="区域专家",5,IF(M20="普通专家",3,0))))</f>
        <v/>
      </c>
      <c r="O20" s="21" t="n"/>
      <c r="P20" s="11">
        <f>IF(O20="战略核心产品",10,IF(O20="重点增长产品",8,IF(O20="成熟产品",5,3)))</f>
        <v/>
      </c>
      <c r="Q20" s="21" t="n"/>
      <c r="R20" s="11">
        <f>IF(Q20="新医院突破/进院节点",10,IF(Q20="战略医院维护",8,IF(Q20="区域重点医院",6,IF(Q20="普通合作医院",3,0))))</f>
        <v/>
      </c>
      <c r="S20" s="21" t="n"/>
      <c r="T20" s="11">
        <f>IF(S20&gt;=50,20,IF(S20&gt;=40,16,IF(S20&gt;=30,12,IF(S20&gt;=20,8,IF(S20&gt;=10,4,1)))))</f>
        <v/>
      </c>
      <c r="U20" s="21" t="n"/>
      <c r="V20" s="11">
        <f>IF(U20="增长≥20%",5,IF(U20="增长0-20%",4,IF(U20="稳定",3,IF(U20="下降",1,0))))</f>
        <v/>
      </c>
      <c r="W20" s="21" t="n"/>
      <c r="X20" s="11">
        <f>IF(W20="明确新增检测量/科室/医院目标",10,IF(W20="推动产品落地",8,IF(W20="医生教育提升",6,IF(W20="客户维护",3,0))))</f>
        <v/>
      </c>
      <c r="Y20" s="21" t="n"/>
      <c r="Z20" s="11">
        <f>IF(Y20="全国案例素材",5,IF(Y20="区域标杆案例",3,IF(Y20="区域宣传",2,IF(Y20="普通曝光",1,0))))</f>
        <v/>
      </c>
      <c r="AA20" s="21" t="n"/>
      <c r="AB20" s="11">
        <f>IF(AA20="目标+预算+ROI复盘",5,IF(AA20="有目标计划",3,IF(AA20="简单执行",1,0)))</f>
        <v/>
      </c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3" t="n"/>
      <c r="AL20" s="23" t="n"/>
    </row>
    <row r="21">
      <c r="A21" s="20" t="n"/>
      <c r="B21" s="21" t="n"/>
      <c r="C21" s="12" t="n"/>
      <c r="D21" s="13" t="n"/>
      <c r="E21" s="13" t="n"/>
      <c r="F21" s="13" t="n"/>
      <c r="G21" s="21" t="n"/>
      <c r="H21" s="21" t="n"/>
      <c r="I21" s="21" t="n"/>
      <c r="J21" s="11">
        <f>IF(I21="国际会议",10,IF(I21="国家级会议",8,IF(I21="省级会议",6,IF(I21="市级会议",3,IF(I21="院级会议",1,0)))))</f>
        <v/>
      </c>
      <c r="K21" s="21" t="n"/>
      <c r="L21" s="11">
        <f>IF(K21="大会报告/卫星会",10,IF(K21="专题讲座/病例分享",8,IF(K21="圆桌讨论",6,IF(K21="展台",4,IF(K21="物料展示",2,0)))))</f>
        <v/>
      </c>
      <c r="M21" s="21" t="n"/>
      <c r="N21" s="11">
        <f>IF(M21="国家级专家",10,IF(M21="省级专家",7,IF(M21="区域专家",5,IF(M21="普通专家",3,0))))</f>
        <v/>
      </c>
      <c r="O21" s="21" t="n"/>
      <c r="P21" s="11">
        <f>IF(O21="战略核心产品",10,IF(O21="重点增长产品",8,IF(O21="成熟产品",5,3)))</f>
        <v/>
      </c>
      <c r="Q21" s="21" t="n"/>
      <c r="R21" s="11">
        <f>IF(Q21="新医院突破/进院节点",10,IF(Q21="战略医院维护",8,IF(Q21="区域重点医院",6,IF(Q21="普通合作医院",3,0))))</f>
        <v/>
      </c>
      <c r="S21" s="21" t="n"/>
      <c r="T21" s="11">
        <f>IF(S21&gt;=50,20,IF(S21&gt;=40,16,IF(S21&gt;=30,12,IF(S21&gt;=20,8,IF(S21&gt;=10,4,1)))))</f>
        <v/>
      </c>
      <c r="U21" s="21" t="n"/>
      <c r="V21" s="11">
        <f>IF(U21="增长≥20%",5,IF(U21="增长0-20%",4,IF(U21="稳定",3,IF(U21="下降",1,0))))</f>
        <v/>
      </c>
      <c r="W21" s="21" t="n"/>
      <c r="X21" s="11">
        <f>IF(W21="明确新增检测量/科室/医院目标",10,IF(W21="推动产品落地",8,IF(W21="医生教育提升",6,IF(W21="客户维护",3,0))))</f>
        <v/>
      </c>
      <c r="Y21" s="21" t="n"/>
      <c r="Z21" s="11">
        <f>IF(Y21="全国案例素材",5,IF(Y21="区域标杆案例",3,IF(Y21="区域宣传",2,IF(Y21="普通曝光",1,0))))</f>
        <v/>
      </c>
      <c r="AA21" s="21" t="n"/>
      <c r="AB21" s="11">
        <f>IF(AA21="目标+预算+ROI复盘",5,IF(AA21="有目标计划",3,IF(AA21="简单执行",1,0)))</f>
        <v/>
      </c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3" t="n"/>
      <c r="AL21" s="23" t="n"/>
    </row>
    <row r="22">
      <c r="A22" s="20" t="n"/>
      <c r="B22" s="21" t="n"/>
      <c r="C22" s="12" t="n"/>
      <c r="D22" s="13" t="n"/>
      <c r="E22" s="13" t="n"/>
      <c r="F22" s="13" t="n"/>
      <c r="G22" s="21" t="n"/>
      <c r="H22" s="21" t="n"/>
      <c r="I22" s="21" t="n"/>
      <c r="J22" s="11">
        <f>IF(I22="国际会议",10,IF(I22="国家级会议",8,IF(I22="省级会议",6,IF(I22="市级会议",3,IF(I22="院级会议",1,0)))))</f>
        <v/>
      </c>
      <c r="K22" s="21" t="n"/>
      <c r="L22" s="11">
        <f>IF(K22="大会报告/卫星会",10,IF(K22="专题讲座/病例分享",8,IF(K22="圆桌讨论",6,IF(K22="展台",4,IF(K22="物料展示",2,0)))))</f>
        <v/>
      </c>
      <c r="M22" s="21" t="n"/>
      <c r="N22" s="11">
        <f>IF(M22="国家级专家",10,IF(M22="省级专家",7,IF(M22="区域专家",5,IF(M22="普通专家",3,0))))</f>
        <v/>
      </c>
      <c r="O22" s="21" t="n"/>
      <c r="P22" s="11">
        <f>IF(O22="战略核心产品",10,IF(O22="重点增长产品",8,IF(O22="成熟产品",5,3)))</f>
        <v/>
      </c>
      <c r="Q22" s="21" t="n"/>
      <c r="R22" s="11">
        <f>IF(Q22="新医院突破/进院节点",10,IF(Q22="战略医院维护",8,IF(Q22="区域重点医院",6,IF(Q22="普通合作医院",3,0))))</f>
        <v/>
      </c>
      <c r="S22" s="21" t="n"/>
      <c r="T22" s="11">
        <f>IF(S22&gt;=50,20,IF(S22&gt;=40,16,IF(S22&gt;=30,12,IF(S22&gt;=20,8,IF(S22&gt;=10,4,1)))))</f>
        <v/>
      </c>
      <c r="U22" s="21" t="n"/>
      <c r="V22" s="11">
        <f>IF(U22="增长≥20%",5,IF(U22="增长0-20%",4,IF(U22="稳定",3,IF(U22="下降",1,0))))</f>
        <v/>
      </c>
      <c r="W22" s="21" t="n"/>
      <c r="X22" s="11">
        <f>IF(W22="明确新增检测量/科室/医院目标",10,IF(W22="推动产品落地",8,IF(W22="医生教育提升",6,IF(W22="客户维护",3,0))))</f>
        <v/>
      </c>
      <c r="Y22" s="21" t="n"/>
      <c r="Z22" s="11">
        <f>IF(Y22="全国案例素材",5,IF(Y22="区域标杆案例",3,IF(Y22="区域宣传",2,IF(Y22="普通曝光",1,0))))</f>
        <v/>
      </c>
      <c r="AA22" s="21" t="n"/>
      <c r="AB22" s="11">
        <f>IF(AA22="目标+预算+ROI复盘",5,IF(AA22="有目标计划",3,IF(AA22="简单执行",1,0)))</f>
        <v/>
      </c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3" t="n"/>
      <c r="AL22" s="23" t="n"/>
    </row>
    <row r="23">
      <c r="A23" s="20" t="n"/>
      <c r="B23" s="21" t="n"/>
      <c r="C23" s="12" t="n"/>
      <c r="D23" s="13" t="n"/>
      <c r="E23" s="13" t="n"/>
      <c r="F23" s="13" t="n"/>
      <c r="G23" s="21" t="n"/>
      <c r="H23" s="21" t="n"/>
      <c r="I23" s="21" t="n"/>
      <c r="J23" s="11">
        <f>IF(I23="国际会议",10,IF(I23="国家级会议",8,IF(I23="省级会议",6,IF(I23="市级会议",3,IF(I23="院级会议",1,0)))))</f>
        <v/>
      </c>
      <c r="K23" s="21" t="n"/>
      <c r="L23" s="11">
        <f>IF(K23="大会报告/卫星会",10,IF(K23="专题讲座/病例分享",8,IF(K23="圆桌讨论",6,IF(K23="展台",4,IF(K23="物料展示",2,0)))))</f>
        <v/>
      </c>
      <c r="M23" s="21" t="n"/>
      <c r="N23" s="11">
        <f>IF(M23="国家级专家",10,IF(M23="省级专家",7,IF(M23="区域专家",5,IF(M23="普通专家",3,0))))</f>
        <v/>
      </c>
      <c r="O23" s="21" t="n"/>
      <c r="P23" s="11">
        <f>IF(O23="战略核心产品",10,IF(O23="重点增长产品",8,IF(O23="成熟产品",5,3)))</f>
        <v/>
      </c>
      <c r="Q23" s="21" t="n"/>
      <c r="R23" s="11">
        <f>IF(Q23="新医院突破/进院节点",10,IF(Q23="战略医院维护",8,IF(Q23="区域重点医院",6,IF(Q23="普通合作医院",3,0))))</f>
        <v/>
      </c>
      <c r="S23" s="21" t="n"/>
      <c r="T23" s="11">
        <f>IF(S23&gt;=50,20,IF(S23&gt;=40,16,IF(S23&gt;=30,12,IF(S23&gt;=20,8,IF(S23&gt;=10,4,1)))))</f>
        <v/>
      </c>
      <c r="U23" s="21" t="n"/>
      <c r="V23" s="11">
        <f>IF(U23="增长≥20%",5,IF(U23="增长0-20%",4,IF(U23="稳定",3,IF(U23="下降",1,0))))</f>
        <v/>
      </c>
      <c r="W23" s="21" t="n"/>
      <c r="X23" s="11">
        <f>IF(W23="明确新增检测量/科室/医院目标",10,IF(W23="推动产品落地",8,IF(W23="医生教育提升",6,IF(W23="客户维护",3,0))))</f>
        <v/>
      </c>
      <c r="Y23" s="21" t="n"/>
      <c r="Z23" s="11">
        <f>IF(Y23="全国案例素材",5,IF(Y23="区域标杆案例",3,IF(Y23="区域宣传",2,IF(Y23="普通曝光",1,0))))</f>
        <v/>
      </c>
      <c r="AA23" s="21" t="n"/>
      <c r="AB23" s="11">
        <f>IF(AA23="目标+预算+ROI复盘",5,IF(AA23="有目标计划",3,IF(AA23="简单执行",1,0)))</f>
        <v/>
      </c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3" t="n"/>
      <c r="AL23" s="23" t="n"/>
    </row>
    <row r="24">
      <c r="A24" s="20" t="n"/>
      <c r="B24" s="21" t="n"/>
      <c r="C24" s="12" t="n"/>
      <c r="D24" s="13" t="n"/>
      <c r="E24" s="13" t="n"/>
      <c r="F24" s="13" t="n"/>
      <c r="G24" s="21" t="n"/>
      <c r="H24" s="21" t="n"/>
      <c r="I24" s="21" t="n"/>
      <c r="J24" s="21" t="n"/>
      <c r="K24" s="21" t="n"/>
      <c r="L24" s="11">
        <f>IF(K24="大会报告/卫星会",10,IF(K24="专题讲座/病例分享",8,IF(K24="圆桌讨论",6,IF(K24="展台",4,IF(K24="物料展示",2,0)))))</f>
        <v/>
      </c>
      <c r="M24" s="21" t="n"/>
      <c r="N24" s="11">
        <f>IF(M24="国家级专家",10,IF(M24="省级专家",7,IF(M24="区域专家",5,IF(M24="普通专家",3,0))))</f>
        <v/>
      </c>
      <c r="O24" s="21" t="n"/>
      <c r="P24" s="11">
        <f>IF(O24="战略核心产品",10,IF(O24="重点增长产品",8,IF(O24="成熟产品",5,3)))</f>
        <v/>
      </c>
      <c r="Q24" s="21" t="n"/>
      <c r="R24" s="11">
        <f>IF(Q24="新医院突破/进院节点",10,IF(Q24="战略医院维护",8,IF(Q24="区域重点医院",6,IF(Q24="普通合作医院",3,0))))</f>
        <v/>
      </c>
      <c r="S24" s="21" t="n"/>
      <c r="T24" s="11">
        <f>IF(S24&gt;=50,20,IF(S24&gt;=40,16,IF(S24&gt;=30,12,IF(S24&gt;=20,8,IF(S24&gt;=10,4,1)))))</f>
        <v/>
      </c>
      <c r="U24" s="21" t="n"/>
      <c r="V24" s="11">
        <f>IF(U24="增长≥20%",5,IF(U24="增长0-20%",4,IF(U24="稳定",3,IF(U24="下降",1,0))))</f>
        <v/>
      </c>
      <c r="W24" s="21" t="n"/>
      <c r="X24" s="11">
        <f>IF(W24="明确新增检测量/科室/医院目标",10,IF(W24="推动产品落地",8,IF(W24="医生教育提升",6,IF(W24="客户维护",3,0))))</f>
        <v/>
      </c>
      <c r="Y24" s="21" t="n"/>
      <c r="Z24" s="11">
        <f>IF(Y24="全国案例素材",5,IF(Y24="区域标杆案例",3,IF(Y24="区域宣传",2,IF(Y24="普通曝光",1,0))))</f>
        <v/>
      </c>
      <c r="AA24" s="21" t="n"/>
      <c r="AB24" s="11">
        <f>IF(AA24="目标+预算+ROI复盘",5,IF(AA24="有目标计划",3,IF(AA24="简单执行",1,0)))</f>
        <v/>
      </c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3" t="n"/>
      <c r="AL24" s="23" t="n"/>
    </row>
    <row r="25">
      <c r="A25" s="20" t="n"/>
      <c r="B25" s="21" t="n"/>
      <c r="C25" s="12" t="n"/>
      <c r="D25" s="13" t="n"/>
      <c r="E25" s="13" t="n"/>
      <c r="F25" s="13" t="n"/>
      <c r="G25" s="21" t="n"/>
      <c r="H25" s="21" t="n"/>
      <c r="I25" s="21" t="n"/>
      <c r="J25" s="21" t="n"/>
      <c r="K25" s="21" t="n"/>
      <c r="L25" s="11">
        <f>IF(K25="大会报告/卫星会",10,IF(K25="专题讲座/病例分享",8,IF(K25="圆桌讨论",6,IF(K25="展台",4,IF(K25="物料展示",2,0)))))</f>
        <v/>
      </c>
      <c r="M25" s="21" t="n"/>
      <c r="N25" s="11">
        <f>IF(M25="国家级专家",10,IF(M25="省级专家",7,IF(M25="区域专家",5,IF(M25="普通专家",3,0))))</f>
        <v/>
      </c>
      <c r="O25" s="21" t="n"/>
      <c r="P25" s="11">
        <f>IF(O25="战略核心产品",10,IF(O25="重点增长产品",8,IF(O25="成熟产品",5,3)))</f>
        <v/>
      </c>
      <c r="Q25" s="21" t="n"/>
      <c r="R25" s="11">
        <f>IF(Q25="新医院突破/进院节点",10,IF(Q25="战略医院维护",8,IF(Q25="区域重点医院",6,IF(Q25="普通合作医院",3,0))))</f>
        <v/>
      </c>
      <c r="S25" s="21" t="n"/>
      <c r="T25" s="11">
        <f>IF(S25&gt;=50,20,IF(S25&gt;=40,16,IF(S25&gt;=30,12,IF(S25&gt;=20,8,IF(S25&gt;=10,4,1)))))</f>
        <v/>
      </c>
      <c r="U25" s="21" t="n"/>
      <c r="V25" s="11">
        <f>IF(U25="增长≥20%",5,IF(U25="增长0-20%",4,IF(U25="稳定",3,IF(U25="下降",1,0))))</f>
        <v/>
      </c>
      <c r="W25" s="21" t="n"/>
      <c r="X25" s="11">
        <f>IF(W25="明确新增检测量/科室/医院目标",10,IF(W25="推动产品落地",8,IF(W25="医生教育提升",6,IF(W25="客户维护",3,0))))</f>
        <v/>
      </c>
      <c r="Y25" s="21" t="n"/>
      <c r="Z25" s="11">
        <f>IF(Y25="全国案例素材",5,IF(Y25="区域标杆案例",3,IF(Y25="区域宣传",2,IF(Y25="普通曝光",1,0))))</f>
        <v/>
      </c>
      <c r="AA25" s="21" t="n"/>
      <c r="AB25" s="11">
        <f>IF(AA25="目标+预算+ROI复盘",5,IF(AA25="有目标计划",3,IF(AA25="简单执行",1,0)))</f>
        <v/>
      </c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3" t="n"/>
      <c r="AL25" s="23" t="n"/>
    </row>
    <row r="26">
      <c r="A26" s="20" t="n"/>
      <c r="B26" s="21" t="n"/>
      <c r="C26" s="12" t="n"/>
      <c r="D26" s="13" t="n"/>
      <c r="E26" s="13" t="n"/>
      <c r="F26" s="13" t="n"/>
      <c r="G26" s="21" t="n"/>
      <c r="H26" s="21" t="n"/>
      <c r="I26" s="21" t="n"/>
      <c r="J26" s="21" t="n"/>
      <c r="K26" s="21" t="n"/>
      <c r="L26" s="11">
        <f>IF(K26="大会报告/卫星会",10,IF(K26="专题讲座/病例分享",8,IF(K26="圆桌讨论",6,IF(K26="展台",4,IF(K26="物料展示",2,0)))))</f>
        <v/>
      </c>
      <c r="M26" s="21" t="n"/>
      <c r="N26" s="11">
        <f>IF(M26="国家级专家",10,IF(M26="省级专家",7,IF(M26="区域专家",5,IF(M26="普通专家",3,0))))</f>
        <v/>
      </c>
      <c r="O26" s="21" t="n"/>
      <c r="P26" s="11">
        <f>IF(O26="战略核心产品",10,IF(O26="重点增长产品",8,IF(O26="成熟产品",5,3)))</f>
        <v/>
      </c>
      <c r="Q26" s="21" t="n"/>
      <c r="R26" s="11">
        <f>IF(Q26="新医院突破/进院节点",10,IF(Q26="战略医院维护",8,IF(Q26="区域重点医院",6,IF(Q26="普通合作医院",3,0))))</f>
        <v/>
      </c>
      <c r="S26" s="21" t="n"/>
      <c r="T26" s="11">
        <f>IF(S26&gt;=50,20,IF(S26&gt;=40,16,IF(S26&gt;=30,12,IF(S26&gt;=20,8,IF(S26&gt;=10,4,1)))))</f>
        <v/>
      </c>
      <c r="U26" s="21" t="n"/>
      <c r="V26" s="11">
        <f>IF(U26="增长≥20%",5,IF(U26="增长0-20%",4,IF(U26="稳定",3,IF(U26="下降",1,0))))</f>
        <v/>
      </c>
      <c r="W26" s="21" t="n"/>
      <c r="X26" s="11">
        <f>IF(W26="明确新增检测量/科室/医院目标",10,IF(W26="推动产品落地",8,IF(W26="医生教育提升",6,IF(W26="客户维护",3,0))))</f>
        <v/>
      </c>
      <c r="Y26" s="21" t="n"/>
      <c r="Z26" s="11">
        <f>IF(Y26="全国案例素材",5,IF(Y26="区域标杆案例",3,IF(Y26="区域宣传",2,IF(Y26="普通曝光",1,0))))</f>
        <v/>
      </c>
      <c r="AA26" s="21" t="n"/>
      <c r="AB26" s="11">
        <f>IF(AA26="目标+预算+ROI复盘",5,IF(AA26="有目标计划",3,IF(AA26="简单执行",1,0)))</f>
        <v/>
      </c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3" t="n"/>
      <c r="AL26" s="23" t="n"/>
    </row>
    <row r="27">
      <c r="A27" s="20" t="n"/>
      <c r="B27" s="21" t="n"/>
      <c r="C27" s="12" t="n"/>
      <c r="D27" s="13" t="n"/>
      <c r="E27" s="13" t="n"/>
      <c r="F27" s="13" t="n"/>
      <c r="G27" s="21" t="n"/>
      <c r="H27" s="21" t="n"/>
      <c r="I27" s="21" t="n"/>
      <c r="J27" s="21" t="n"/>
      <c r="K27" s="21" t="n"/>
      <c r="L27" s="11">
        <f>IF(K27="大会报告/卫星会",10,IF(K27="专题讲座/病例分享",8,IF(K27="圆桌讨论",6,IF(K27="展台",4,IF(K27="物料展示",2,0)))))</f>
        <v/>
      </c>
      <c r="M27" s="21" t="n"/>
      <c r="N27" s="11">
        <f>IF(M27="国家级专家",10,IF(M27="省级专家",7,IF(M27="区域专家",5,IF(M27="普通专家",3,0))))</f>
        <v/>
      </c>
      <c r="O27" s="21" t="n"/>
      <c r="P27" s="11">
        <f>IF(O27="战略核心产品",10,IF(O27="重点增长产品",8,IF(O27="成熟产品",5,3)))</f>
        <v/>
      </c>
      <c r="Q27" s="21" t="n"/>
      <c r="R27" s="11">
        <f>IF(Q27="新医院突破/进院节点",10,IF(Q27="战略医院维护",8,IF(Q27="区域重点医院",6,IF(Q27="普通合作医院",3,0))))</f>
        <v/>
      </c>
      <c r="S27" s="21" t="n"/>
      <c r="T27" s="11">
        <f>IF(S27&gt;=50,20,IF(S27&gt;=40,16,IF(S27&gt;=30,12,IF(S27&gt;=20,8,IF(S27&gt;=10,4,1)))))</f>
        <v/>
      </c>
      <c r="U27" s="21" t="n"/>
      <c r="V27" s="11">
        <f>IF(U27="增长≥20%",5,IF(U27="增长0-20%",4,IF(U27="稳定",3,IF(U27="下降",1,0))))</f>
        <v/>
      </c>
      <c r="W27" s="21" t="n"/>
      <c r="X27" s="11">
        <f>IF(W27="明确新增检测量/科室/医院目标",10,IF(W27="推动产品落地",8,IF(W27="医生教育提升",6,IF(W27="客户维护",3,0))))</f>
        <v/>
      </c>
      <c r="Y27" s="21" t="n"/>
      <c r="Z27" s="11">
        <f>IF(Y27="全国案例素材",5,IF(Y27="区域标杆案例",3,IF(Y27="区域宣传",2,IF(Y27="普通曝光",1,0))))</f>
        <v/>
      </c>
      <c r="AA27" s="21" t="n"/>
      <c r="AB27" s="11">
        <f>IF(AA27="目标+预算+ROI复盘",5,IF(AA27="有目标计划",3,IF(AA27="简单执行",1,0)))</f>
        <v/>
      </c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3" t="n"/>
      <c r="AL27" s="23" t="n"/>
    </row>
    <row r="28">
      <c r="A28" s="20" t="n"/>
      <c r="B28" s="21" t="n"/>
      <c r="C28" s="12" t="n"/>
      <c r="D28" s="13" t="n"/>
      <c r="E28" s="13" t="n"/>
      <c r="F28" s="13" t="n"/>
      <c r="G28" s="21" t="n"/>
      <c r="H28" s="21" t="n"/>
      <c r="I28" s="21" t="n"/>
      <c r="J28" s="21" t="n"/>
      <c r="K28" s="21" t="n"/>
      <c r="L28" s="11">
        <f>IF(K28="大会报告/卫星会",10,IF(K28="专题讲座/病例分享",8,IF(K28="圆桌讨论",6,IF(K28="展台",4,IF(K28="物料展示",2,0)))))</f>
        <v/>
      </c>
      <c r="M28" s="21" t="n"/>
      <c r="N28" s="11">
        <f>IF(M28="国家级专家",10,IF(M28="省级专家",7,IF(M28="区域专家",5,IF(M28="普通专家",3,0))))</f>
        <v/>
      </c>
      <c r="O28" s="21" t="n"/>
      <c r="P28" s="11">
        <f>IF(O28="战略核心产品",10,IF(O28="重点增长产品",8,IF(O28="成熟产品",5,3)))</f>
        <v/>
      </c>
      <c r="Q28" s="21" t="n"/>
      <c r="R28" s="11">
        <f>IF(Q28="新医院突破/进院节点",10,IF(Q28="战略医院维护",8,IF(Q28="区域重点医院",6,IF(Q28="普通合作医院",3,0))))</f>
        <v/>
      </c>
      <c r="S28" s="21" t="n"/>
      <c r="T28" s="11">
        <f>IF(S28&gt;=50,20,IF(S28&gt;=40,16,IF(S28&gt;=30,12,IF(S28&gt;=20,8,IF(S28&gt;=10,4,1)))))</f>
        <v/>
      </c>
      <c r="U28" s="21" t="n"/>
      <c r="V28" s="11">
        <f>IF(U28="增长≥20%",5,IF(U28="增长0-20%",4,IF(U28="稳定",3,IF(U28="下降",1,0))))</f>
        <v/>
      </c>
      <c r="W28" s="21" t="n"/>
      <c r="X28" s="11">
        <f>IF(W28="明确新增检测量/科室/医院目标",10,IF(W28="推动产品落地",8,IF(W28="医生教育提升",6,IF(W28="客户维护",3,0))))</f>
        <v/>
      </c>
      <c r="Y28" s="21" t="n"/>
      <c r="Z28" s="11">
        <f>IF(Y28="全国案例素材",5,IF(Y28="区域标杆案例",3,IF(Y28="区域宣传",2,IF(Y28="普通曝光",1,0))))</f>
        <v/>
      </c>
      <c r="AA28" s="21" t="n"/>
      <c r="AB28" s="11">
        <f>IF(AA28="目标+预算+ROI复盘",5,IF(AA28="有目标计划",3,IF(AA28="简单执行",1,0)))</f>
        <v/>
      </c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3" t="n"/>
      <c r="AL28" s="23" t="n"/>
    </row>
    <row r="29">
      <c r="A29" s="20" t="n"/>
      <c r="B29" s="21" t="n"/>
      <c r="C29" s="12" t="n"/>
      <c r="D29" s="13" t="n"/>
      <c r="E29" s="13" t="n"/>
      <c r="F29" s="13" t="n"/>
      <c r="G29" s="21" t="n"/>
      <c r="H29" s="21" t="n"/>
      <c r="I29" s="21" t="n"/>
      <c r="J29" s="21" t="n"/>
      <c r="K29" s="21" t="n"/>
      <c r="L29" s="11">
        <f>IF(K29="大会报告/卫星会",10,IF(K29="专题讲座/病例分享",8,IF(K29="圆桌讨论",6,IF(K29="展台",4,IF(K29="物料展示",2,0)))))</f>
        <v/>
      </c>
      <c r="M29" s="21" t="n"/>
      <c r="N29" s="11">
        <f>IF(M29="国家级专家",10,IF(M29="省级专家",7,IF(M29="区域专家",5,IF(M29="普通专家",3,0))))</f>
        <v/>
      </c>
      <c r="O29" s="21" t="n"/>
      <c r="P29" s="11">
        <f>IF(O29="战略核心产品",10,IF(O29="重点增长产品",8,IF(O29="成熟产品",5,3)))</f>
        <v/>
      </c>
      <c r="Q29" s="21" t="n"/>
      <c r="R29" s="11">
        <f>IF(Q29="新医院突破/进院节点",10,IF(Q29="战略医院维护",8,IF(Q29="区域重点医院",6,IF(Q29="普通合作医院",3,0))))</f>
        <v/>
      </c>
      <c r="S29" s="21" t="n"/>
      <c r="T29" s="11">
        <f>IF(S29&gt;=50,20,IF(S29&gt;=40,16,IF(S29&gt;=30,12,IF(S29&gt;=20,8,IF(S29&gt;=10,4,1)))))</f>
        <v/>
      </c>
      <c r="U29" s="21" t="n"/>
      <c r="V29" s="11">
        <f>IF(U29="增长≥20%",5,IF(U29="增长0-20%",4,IF(U29="稳定",3,IF(U29="下降",1,0))))</f>
        <v/>
      </c>
      <c r="W29" s="21" t="n"/>
      <c r="X29" s="11">
        <f>IF(W29="明确新增检测量/科室/医院目标",10,IF(W29="推动产品落地",8,IF(W29="医生教育提升",6,IF(W29="客户维护",3,0))))</f>
        <v/>
      </c>
      <c r="Y29" s="21" t="n"/>
      <c r="Z29" s="11">
        <f>IF(Y29="全国案例素材",5,IF(Y29="区域标杆案例",3,IF(Y29="区域宣传",2,IF(Y29="普通曝光",1,0))))</f>
        <v/>
      </c>
      <c r="AA29" s="21" t="n"/>
      <c r="AB29" s="11">
        <f>IF(AA29="目标+预算+ROI复盘",5,IF(AA29="有目标计划",3,IF(AA29="简单执行",1,0)))</f>
        <v/>
      </c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3" t="n"/>
      <c r="AL29" s="23" t="n"/>
    </row>
    <row r="30">
      <c r="A30" s="20" t="n"/>
      <c r="B30" s="21" t="n"/>
      <c r="C30" s="12" t="n"/>
      <c r="D30" s="13" t="n"/>
      <c r="E30" s="13" t="n"/>
      <c r="F30" s="13" t="n"/>
      <c r="G30" s="21" t="n"/>
      <c r="H30" s="21" t="n"/>
      <c r="I30" s="21" t="n"/>
      <c r="J30" s="21" t="n"/>
      <c r="K30" s="21" t="n"/>
      <c r="L30" s="11">
        <f>IF(K30="大会报告/卫星会",10,IF(K30="专题讲座/病例分享",8,IF(K30="圆桌讨论",6,IF(K30="展台",4,IF(K30="物料展示",2,0)))))</f>
        <v/>
      </c>
      <c r="M30" s="21" t="n"/>
      <c r="N30" s="11">
        <f>IF(M30="国家级专家",10,IF(M30="省级专家",7,IF(M30="区域专家",5,IF(M30="普通专家",3,0))))</f>
        <v/>
      </c>
      <c r="O30" s="21" t="n"/>
      <c r="P30" s="11">
        <f>IF(O30="战略核心产品",10,IF(O30="重点增长产品",8,IF(O30="成熟产品",5,3)))</f>
        <v/>
      </c>
      <c r="Q30" s="21" t="n"/>
      <c r="R30" s="11">
        <f>IF(Q30="新医院突破/进院节点",10,IF(Q30="战略医院维护",8,IF(Q30="区域重点医院",6,IF(Q30="普通合作医院",3,0))))</f>
        <v/>
      </c>
      <c r="S30" s="21" t="n"/>
      <c r="T30" s="11">
        <f>IF(S30&gt;=50,20,IF(S30&gt;=40,16,IF(S30&gt;=30,12,IF(S30&gt;=20,8,IF(S30&gt;=10,4,1)))))</f>
        <v/>
      </c>
      <c r="U30" s="21" t="n"/>
      <c r="V30" s="11">
        <f>IF(U30="增长≥20%",5,IF(U30="增长0-20%",4,IF(U30="稳定",3,IF(U30="下降",1,0))))</f>
        <v/>
      </c>
      <c r="W30" s="21" t="n"/>
      <c r="X30" s="11">
        <f>IF(W30="明确新增检测量/科室/医院目标",10,IF(W30="推动产品落地",8,IF(W30="医生教育提升",6,IF(W30="客户维护",3,0))))</f>
        <v/>
      </c>
      <c r="Y30" s="21" t="n"/>
      <c r="Z30" s="11">
        <f>IF(Y30="全国案例素材",5,IF(Y30="区域标杆案例",3,IF(Y30="区域宣传",2,IF(Y30="普通曝光",1,0))))</f>
        <v/>
      </c>
      <c r="AA30" s="21" t="n"/>
      <c r="AB30" s="11">
        <f>IF(AA30="目标+预算+ROI复盘",5,IF(AA30="有目标计划",3,IF(AA30="简单执行",1,0)))</f>
        <v/>
      </c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3" t="n"/>
      <c r="AL30" s="23" t="n"/>
    </row>
    <row r="31">
      <c r="A31" s="20" t="n"/>
      <c r="B31" s="21" t="n"/>
      <c r="C31" s="12" t="n"/>
      <c r="D31" s="13" t="n"/>
      <c r="E31" s="13" t="n"/>
      <c r="F31" s="13" t="n"/>
      <c r="G31" s="21" t="n"/>
      <c r="H31" s="21" t="n"/>
      <c r="I31" s="21" t="n"/>
      <c r="J31" s="21" t="n"/>
      <c r="K31" s="21" t="n"/>
      <c r="L31" s="11">
        <f>IF(K31="大会报告/卫星会",10,IF(K31="专题讲座/病例分享",8,IF(K31="圆桌讨论",6,IF(K31="展台",4,IF(K31="物料展示",2,0)))))</f>
        <v/>
      </c>
      <c r="M31" s="21" t="n"/>
      <c r="N31" s="21" t="n"/>
      <c r="O31" s="21" t="n"/>
      <c r="P31" s="11">
        <f>IF(O31="战略核心产品",10,IF(O31="重点增长产品",8,IF(O31="成熟产品",5,3)))</f>
        <v/>
      </c>
      <c r="Q31" s="21" t="n"/>
      <c r="R31" s="11">
        <f>IF(Q31="新医院突破/进院节点",10,IF(Q31="战略医院维护",8,IF(Q31="区域重点医院",6,IF(Q31="普通合作医院",3,0))))</f>
        <v/>
      </c>
      <c r="S31" s="21" t="n"/>
      <c r="T31" s="11">
        <f>IF(S31&gt;=50,20,IF(S31&gt;=40,16,IF(S31&gt;=30,12,IF(S31&gt;=20,8,IF(S31&gt;=10,4,1)))))</f>
        <v/>
      </c>
      <c r="U31" s="21" t="n"/>
      <c r="V31" s="11">
        <f>IF(U31="增长≥20%",5,IF(U31="增长0-20%",4,IF(U31="稳定",3,IF(U31="下降",1,0))))</f>
        <v/>
      </c>
      <c r="W31" s="21" t="n"/>
      <c r="X31" s="11">
        <f>IF(W31="明确新增检测量/科室/医院目标",10,IF(W31="推动产品落地",8,IF(W31="医生教育提升",6,IF(W31="客户维护",3,0))))</f>
        <v/>
      </c>
      <c r="Y31" s="21" t="n"/>
      <c r="Z31" s="11">
        <f>IF(Y31="全国案例素材",5,IF(Y31="区域标杆案例",3,IF(Y31="区域宣传",2,IF(Y31="普通曝光",1,0))))</f>
        <v/>
      </c>
      <c r="AA31" s="21" t="n"/>
      <c r="AB31" s="11">
        <f>IF(AA31="目标+预算+ROI复盘",5,IF(AA31="有目标计划",3,IF(AA31="简单执行",1,0)))</f>
        <v/>
      </c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3" t="n"/>
      <c r="AL31" s="23" t="n"/>
    </row>
    <row r="32">
      <c r="A32" s="20" t="n"/>
      <c r="B32" s="21" t="n"/>
      <c r="C32" s="12" t="n"/>
      <c r="D32" s="13" t="n"/>
      <c r="E32" s="13" t="n"/>
      <c r="F32" s="13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11">
        <f>IF(Q32="新医院突破/进院节点",10,IF(Q32="战略医院维护",8,IF(Q32="区域重点医院",6,IF(Q32="普通合作医院",3,0))))</f>
        <v/>
      </c>
      <c r="S32" s="21" t="n"/>
      <c r="T32" s="11">
        <f>IF(S32&gt;=50,20,IF(S32&gt;=40,16,IF(S32&gt;=30,12,IF(S32&gt;=20,8,IF(S32&gt;=10,4,1)))))</f>
        <v/>
      </c>
      <c r="U32" s="21" t="n"/>
      <c r="V32" s="11">
        <f>IF(U32="增长≥20%",5,IF(U32="增长0-20%",4,IF(U32="稳定",3,IF(U32="下降",1,0))))</f>
        <v/>
      </c>
      <c r="W32" s="21" t="n"/>
      <c r="X32" s="21" t="n"/>
      <c r="Y32" s="21" t="n"/>
      <c r="Z32" s="11">
        <f>IF(Y32="全国案例素材",5,IF(Y32="区域标杆案例",3,IF(Y32="区域宣传",2,IF(Y32="普通曝光",1,0))))</f>
        <v/>
      </c>
      <c r="AA32" s="21" t="n"/>
      <c r="AB32" s="11">
        <f>IF(AA32="目标+预算+ROI复盘",5,IF(AA32="有目标计划",3,IF(AA32="简单执行",1,0)))</f>
        <v/>
      </c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3" t="n"/>
      <c r="AL32" s="23" t="n"/>
    </row>
    <row r="33">
      <c r="A33" s="20" t="n"/>
      <c r="B33" s="21" t="n"/>
      <c r="C33" s="12" t="n"/>
      <c r="D33" s="13" t="n"/>
      <c r="E33" s="13" t="n"/>
      <c r="F33" s="13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11">
        <f>IF(Q33="新医院突破/进院节点",10,IF(Q33="战略医院维护",8,IF(Q33="区域重点医院",6,IF(Q33="普通合作医院",3,0))))</f>
        <v/>
      </c>
      <c r="S33" s="21" t="n"/>
      <c r="T33" s="11">
        <f>IF(S33&gt;=50,20,IF(S33&gt;=40,16,IF(S33&gt;=30,12,IF(S33&gt;=20,8,IF(S33&gt;=10,4,1)))))</f>
        <v/>
      </c>
      <c r="U33" s="21" t="n"/>
      <c r="V33" s="11">
        <f>IF(U33="增长≥20%",5,IF(U33="增长0-20%",4,IF(U33="稳定",3,IF(U33="下降",1,0))))</f>
        <v/>
      </c>
      <c r="W33" s="21" t="n"/>
      <c r="X33" s="21" t="n"/>
      <c r="Y33" s="21" t="n"/>
      <c r="Z33" s="11">
        <f>IF(Y33="全国案例素材",5,IF(Y33="区域标杆案例",3,IF(Y33="区域宣传",2,IF(Y33="普通曝光",1,0))))</f>
        <v/>
      </c>
      <c r="AA33" s="21" t="n"/>
      <c r="AB33" s="11">
        <f>IF(AA33="目标+预算+ROI复盘",5,IF(AA33="有目标计划",3,IF(AA33="简单执行",1,0)))</f>
        <v/>
      </c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3" t="n"/>
      <c r="AL33" s="23" t="n"/>
    </row>
    <row r="34">
      <c r="A34" s="20" t="n"/>
      <c r="B34" s="21" t="n"/>
      <c r="C34" s="12" t="n"/>
      <c r="D34" s="13" t="n"/>
      <c r="E34" s="13" t="n"/>
      <c r="F34" s="13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11">
        <f>IF(S34&gt;=50,20,IF(S34&gt;=40,16,IF(S34&gt;=30,12,IF(S34&gt;=20,8,IF(S34&gt;=10,4,1)))))</f>
        <v/>
      </c>
      <c r="U34" s="21" t="n"/>
      <c r="V34" s="11">
        <f>IF(U34="增长≥20%",5,IF(U34="增长0-20%",4,IF(U34="稳定",3,IF(U34="下降",1,0))))</f>
        <v/>
      </c>
      <c r="W34" s="21" t="n"/>
      <c r="X34" s="21" t="n"/>
      <c r="Y34" s="21" t="n"/>
      <c r="Z34" s="11">
        <f>IF(Y34="全国案例素材",5,IF(Y34="区域标杆案例",3,IF(Y34="区域宣传",2,IF(Y34="普通曝光",1,0))))</f>
        <v/>
      </c>
      <c r="AA34" s="21" t="n"/>
      <c r="AB34" s="11">
        <f>IF(AA34="目标+预算+ROI复盘",5,IF(AA34="有目标计划",3,IF(AA34="简单执行",1,0)))</f>
        <v/>
      </c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3" t="n"/>
      <c r="AL34" s="23" t="n"/>
    </row>
    <row r="35">
      <c r="A35" s="20" t="n"/>
      <c r="B35" s="21" t="n"/>
      <c r="C35" s="12" t="n"/>
      <c r="D35" s="13" t="n"/>
      <c r="E35" s="13" t="n"/>
      <c r="F35" s="13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11">
        <f>IF(S35&gt;=50,20,IF(S35&gt;=40,16,IF(S35&gt;=30,12,IF(S35&gt;=20,8,IF(S35&gt;=10,4,1)))))</f>
        <v/>
      </c>
      <c r="U35" s="21" t="n"/>
      <c r="V35" s="11">
        <f>IF(U35="增长≥20%",5,IF(U35="增长0-20%",4,IF(U35="稳定",3,IF(U35="下降",1,0))))</f>
        <v/>
      </c>
      <c r="W35" s="21" t="n"/>
      <c r="X35" s="21" t="n"/>
      <c r="Y35" s="21" t="n"/>
      <c r="Z35" s="11">
        <f>IF(Y35="全国案例素材",5,IF(Y35="区域标杆案例",3,IF(Y35="区域宣传",2,IF(Y35="普通曝光",1,0))))</f>
        <v/>
      </c>
      <c r="AA35" s="21" t="n"/>
      <c r="AB35" s="11">
        <f>IF(AA35="目标+预算+ROI复盘",5,IF(AA35="有目标计划",3,IF(AA35="简单执行",1,0)))</f>
        <v/>
      </c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3" t="n"/>
      <c r="AL35" s="23" t="n"/>
    </row>
    <row r="36">
      <c r="A36" s="20" t="n"/>
      <c r="B36" s="21" t="n"/>
      <c r="C36" s="12" t="n"/>
      <c r="D36" s="13" t="n"/>
      <c r="E36" s="13" t="n"/>
      <c r="F36" s="13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11">
        <f>IF(U36="增长≥20%",5,IF(U36="增长0-20%",4,IF(U36="稳定",3,IF(U36="下降",1,0))))</f>
        <v/>
      </c>
      <c r="W36" s="21" t="n"/>
      <c r="X36" s="21" t="n"/>
      <c r="Y36" s="21" t="n"/>
      <c r="Z36" s="11">
        <f>IF(Y36="全国案例素材",5,IF(Y36="区域标杆案例",3,IF(Y36="区域宣传",2,IF(Y36="普通曝光",1,0))))</f>
        <v/>
      </c>
      <c r="AA36" s="21" t="n"/>
      <c r="AB36" s="11">
        <f>IF(AA36="目标+预算+ROI复盘",5,IF(AA36="有目标计划",3,IF(AA36="简单执行",1,0)))</f>
        <v/>
      </c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3" t="n"/>
      <c r="AL36" s="23" t="n"/>
    </row>
    <row r="37">
      <c r="A37" s="20" t="n"/>
      <c r="B37" s="21" t="n"/>
      <c r="C37" s="12" t="n"/>
      <c r="D37" s="13" t="n"/>
      <c r="E37" s="13" t="n"/>
      <c r="F37" s="13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11">
        <f>IF(U37="增长≥20%",5,IF(U37="增长0-20%",4,IF(U37="稳定",3,IF(U37="下降",1,0))))</f>
        <v/>
      </c>
      <c r="W37" s="21" t="n"/>
      <c r="X37" s="21" t="n"/>
      <c r="Y37" s="21" t="n"/>
      <c r="Z37" s="11">
        <f>IF(Y37="全国案例素材",5,IF(Y37="区域标杆案例",3,IF(Y37="区域宣传",2,IF(Y37="普通曝光",1,0))))</f>
        <v/>
      </c>
      <c r="AA37" s="21" t="n"/>
      <c r="AB37" s="11">
        <f>IF(AA37="目标+预算+ROI复盘",5,IF(AA37="有目标计划",3,IF(AA37="简单执行",1,0)))</f>
        <v/>
      </c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3" t="n"/>
      <c r="AL37" s="23" t="n"/>
    </row>
    <row r="38">
      <c r="A38" s="20" t="n"/>
      <c r="B38" s="21" t="n"/>
      <c r="C38" s="12" t="n"/>
      <c r="D38" s="13" t="n"/>
      <c r="E38" s="13" t="n"/>
      <c r="F38" s="13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11">
        <f>IF(Y38="全国案例素材",5,IF(Y38="区域标杆案例",3,IF(Y38="区域宣传",2,IF(Y38="普通曝光",1,0))))</f>
        <v/>
      </c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3" t="n"/>
      <c r="AL38" s="23" t="n"/>
    </row>
    <row r="39">
      <c r="A39" s="20" t="n"/>
      <c r="B39" s="21" t="n"/>
      <c r="C39" s="12" t="n"/>
      <c r="D39" s="13" t="n"/>
      <c r="E39" s="13" t="n"/>
      <c r="F39" s="13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3" t="n"/>
      <c r="AL39" s="23" t="n"/>
    </row>
    <row r="40">
      <c r="A40" s="20" t="n"/>
      <c r="B40" s="21" t="n"/>
      <c r="C40" s="12" t="n"/>
      <c r="D40" s="13" t="n"/>
      <c r="E40" s="13" t="n"/>
      <c r="F40" s="13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3" t="n"/>
      <c r="AL40" s="23" t="n"/>
    </row>
    <row r="41">
      <c r="A41" s="20" t="n"/>
      <c r="B41" s="21" t="n"/>
      <c r="C41" s="12" t="n"/>
      <c r="D41" s="13" t="n"/>
      <c r="E41" s="13" t="n"/>
      <c r="F41" s="13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3" t="n"/>
      <c r="AL41" s="23" t="n"/>
    </row>
    <row r="42">
      <c r="A42" s="20" t="n"/>
      <c r="B42" s="21" t="n"/>
      <c r="C42" s="12" t="n"/>
      <c r="D42" s="13" t="n"/>
      <c r="E42" s="13" t="n"/>
      <c r="F42" s="13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3" t="n"/>
      <c r="AL42" s="23" t="n"/>
    </row>
    <row r="43">
      <c r="A43" s="20" t="n"/>
      <c r="B43" s="21" t="n"/>
      <c r="C43" s="12" t="n"/>
      <c r="D43" s="13" t="n"/>
      <c r="E43" s="13" t="n"/>
      <c r="F43" s="13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3" t="n"/>
      <c r="AL43" s="23" t="n"/>
    </row>
    <row r="44">
      <c r="A44" s="20" t="n"/>
      <c r="B44" s="21" t="n"/>
      <c r="C44" s="12" t="n"/>
      <c r="D44" s="13" t="n"/>
      <c r="E44" s="13" t="n"/>
      <c r="F44" s="13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3" t="n"/>
      <c r="AL44" s="23" t="n"/>
    </row>
    <row r="45">
      <c r="A45" s="20" t="n"/>
      <c r="B45" s="21" t="n"/>
      <c r="C45" s="12" t="n"/>
      <c r="D45" s="13" t="n"/>
      <c r="E45" s="13" t="n"/>
      <c r="F45" s="13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3" t="n"/>
      <c r="AL45" s="23" t="n"/>
    </row>
    <row r="46">
      <c r="A46" s="20" t="n"/>
      <c r="B46" s="21" t="n"/>
      <c r="C46" s="12" t="n"/>
      <c r="D46" s="13" t="n"/>
      <c r="E46" s="13" t="n"/>
      <c r="F46" s="13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3" t="n"/>
      <c r="AL46" s="23" t="n"/>
    </row>
    <row r="47">
      <c r="A47" s="20" t="n"/>
      <c r="B47" s="21" t="n"/>
      <c r="C47" s="12" t="n"/>
      <c r="D47" s="13" t="n"/>
      <c r="E47" s="13" t="n"/>
      <c r="F47" s="13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3" t="n"/>
      <c r="AL47" s="23" t="n"/>
    </row>
    <row r="48">
      <c r="A48" s="20" t="n"/>
      <c r="B48" s="21" t="n"/>
      <c r="C48" s="12" t="n"/>
      <c r="D48" s="13" t="n"/>
      <c r="E48" s="13" t="n"/>
      <c r="F48" s="13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3" t="n"/>
      <c r="AL48" s="23" t="n"/>
    </row>
    <row r="49">
      <c r="A49" s="20" t="n"/>
      <c r="B49" s="21" t="n"/>
      <c r="C49" s="12" t="n"/>
      <c r="D49" s="13" t="n"/>
      <c r="E49" s="13" t="n"/>
      <c r="F49" s="13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3" t="n"/>
      <c r="AL49" s="23" t="n"/>
    </row>
    <row r="50">
      <c r="A50" s="20" t="n"/>
      <c r="B50" s="21" t="n"/>
      <c r="C50" s="12" t="n"/>
      <c r="D50" s="13" t="n"/>
      <c r="E50" s="13" t="n"/>
      <c r="F50" s="13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3" t="n"/>
      <c r="AL50" s="23" t="n"/>
    </row>
    <row r="51">
      <c r="A51" s="20" t="n"/>
      <c r="B51" s="21" t="n"/>
      <c r="C51" s="12" t="n"/>
      <c r="D51" s="13" t="n"/>
      <c r="E51" s="13" t="n"/>
      <c r="F51" s="13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3" t="n"/>
      <c r="AL51" s="23" t="n"/>
    </row>
    <row r="52">
      <c r="A52" s="20" t="n"/>
      <c r="B52" s="21" t="n"/>
      <c r="C52" s="12" t="n"/>
      <c r="D52" s="13" t="n"/>
      <c r="E52" s="13" t="n"/>
      <c r="F52" s="13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3" t="n"/>
      <c r="AL52" s="23" t="n"/>
    </row>
    <row r="53">
      <c r="A53" s="20" t="n"/>
      <c r="B53" s="21" t="n"/>
      <c r="C53" s="12" t="n"/>
      <c r="D53" s="13" t="n"/>
      <c r="E53" s="13" t="n"/>
      <c r="F53" s="13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3" t="n"/>
      <c r="AL53" s="23" t="n"/>
    </row>
    <row r="54">
      <c r="A54" s="20" t="n"/>
      <c r="B54" s="21" t="n"/>
      <c r="C54" s="12" t="n"/>
      <c r="D54" s="13" t="n"/>
      <c r="E54" s="13" t="n"/>
      <c r="F54" s="13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3" t="n"/>
      <c r="AL54" s="23" t="n"/>
    </row>
    <row r="55">
      <c r="A55" s="20" t="n"/>
      <c r="B55" s="21" t="n"/>
      <c r="C55" s="12" t="n"/>
      <c r="D55" s="13" t="n"/>
      <c r="E55" s="13" t="n"/>
      <c r="F55" s="13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3" t="n"/>
      <c r="AL55" s="23" t="n"/>
    </row>
    <row r="56">
      <c r="A56" s="20" t="n"/>
      <c r="B56" s="21" t="n"/>
      <c r="C56" s="12" t="n"/>
      <c r="D56" s="13" t="n"/>
      <c r="E56" s="13" t="n"/>
      <c r="F56" s="13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3" t="n"/>
      <c r="AL56" s="23" t="n"/>
    </row>
    <row r="57">
      <c r="A57" s="20" t="n"/>
      <c r="B57" s="21" t="n"/>
      <c r="C57" s="12" t="n"/>
      <c r="D57" s="13" t="n"/>
      <c r="E57" s="13" t="n"/>
      <c r="F57" s="13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3" t="n"/>
      <c r="AL57" s="23" t="n"/>
    </row>
    <row r="58">
      <c r="A58" s="20" t="n"/>
      <c r="B58" s="21" t="n"/>
      <c r="C58" s="12" t="n"/>
      <c r="D58" s="13" t="n"/>
      <c r="E58" s="13" t="n"/>
      <c r="F58" s="13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3" t="n"/>
      <c r="AL58" s="23" t="n"/>
    </row>
    <row r="59">
      <c r="A59" s="20" t="n"/>
      <c r="B59" s="21" t="n"/>
      <c r="C59" s="12" t="n"/>
      <c r="D59" s="13" t="n"/>
      <c r="E59" s="13" t="n"/>
      <c r="F59" s="13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3" t="n"/>
      <c r="AL59" s="23" t="n"/>
    </row>
    <row r="60">
      <c r="A60" s="20" t="n"/>
      <c r="B60" s="21" t="n"/>
      <c r="C60" s="12" t="n"/>
      <c r="D60" s="13" t="n"/>
      <c r="E60" s="13" t="n"/>
      <c r="F60" s="13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3" t="n"/>
      <c r="AL60" s="23" t="n"/>
    </row>
    <row r="61">
      <c r="A61" s="20" t="n"/>
      <c r="B61" s="21" t="n"/>
      <c r="C61" s="12" t="n"/>
      <c r="D61" s="13" t="n"/>
      <c r="E61" s="13" t="n"/>
      <c r="F61" s="13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3" t="n"/>
      <c r="AL61" s="23" t="n"/>
    </row>
    <row r="62">
      <c r="A62" s="20" t="n"/>
      <c r="B62" s="21" t="n"/>
      <c r="C62" s="12" t="n"/>
      <c r="D62" s="13" t="n"/>
      <c r="E62" s="13" t="n"/>
      <c r="F62" s="13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3" t="n"/>
      <c r="AL62" s="23" t="n"/>
    </row>
    <row r="63">
      <c r="A63" s="20" t="n"/>
      <c r="B63" s="21" t="n"/>
      <c r="C63" s="12" t="n"/>
      <c r="D63" s="13" t="n"/>
      <c r="E63" s="13" t="n"/>
      <c r="F63" s="13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3" t="n"/>
      <c r="AL63" s="23" t="n"/>
    </row>
    <row r="64">
      <c r="A64" s="20" t="n"/>
      <c r="B64" s="21" t="n"/>
      <c r="C64" s="12" t="n"/>
      <c r="D64" s="13" t="n"/>
      <c r="E64" s="13" t="n"/>
      <c r="F64" s="13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3" t="n"/>
      <c r="AL64" s="23" t="n"/>
    </row>
    <row r="65">
      <c r="A65" s="20" t="n"/>
      <c r="B65" s="21" t="n"/>
      <c r="C65" s="12" t="n"/>
      <c r="D65" s="13" t="n"/>
      <c r="E65" s="13" t="n"/>
      <c r="F65" s="13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3" t="n"/>
      <c r="AL65" s="23" t="n"/>
    </row>
    <row r="66">
      <c r="A66" s="21" t="n"/>
      <c r="B66" s="21" t="n"/>
      <c r="D66" s="24" t="n"/>
      <c r="E66" s="24" t="n"/>
      <c r="F66" s="24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3" t="n"/>
      <c r="AL66" s="23" t="n"/>
    </row>
    <row r="67">
      <c r="A67" s="21" t="n"/>
      <c r="B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3" t="n"/>
      <c r="AL67" s="23" t="n"/>
    </row>
    <row r="68">
      <c r="A68" s="21" t="n"/>
      <c r="B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3" t="n"/>
      <c r="AL68" s="23" t="n"/>
    </row>
    <row r="69">
      <c r="A69" s="21" t="n"/>
      <c r="B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3" t="n"/>
      <c r="AL69" s="23" t="n"/>
    </row>
    <row r="70">
      <c r="A70" s="21" t="n"/>
      <c r="B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3" t="n"/>
      <c r="AL70" s="23" t="n"/>
    </row>
    <row r="71">
      <c r="A71" s="21" t="n"/>
      <c r="B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3" t="n"/>
      <c r="AL71" s="23" t="n"/>
    </row>
    <row r="72">
      <c r="A72" s="21" t="n"/>
      <c r="B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3" t="n"/>
      <c r="AL72" s="23" t="n"/>
    </row>
    <row r="73">
      <c r="A73" s="21" t="n"/>
      <c r="B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3" t="n"/>
      <c r="AL73" s="23" t="n"/>
    </row>
    <row r="74">
      <c r="A74" s="21" t="n"/>
      <c r="B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3" t="n"/>
      <c r="AL74" s="23" t="n"/>
    </row>
    <row r="75">
      <c r="A75" s="21" t="n"/>
      <c r="B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3" t="n"/>
      <c r="AL75" s="23" t="n"/>
    </row>
    <row r="76">
      <c r="A76" s="21" t="n"/>
      <c r="B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3" t="n"/>
      <c r="AL76" s="23" t="n"/>
    </row>
    <row r="77">
      <c r="A77" s="21" t="n"/>
      <c r="B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3" t="n"/>
      <c r="AL77" s="23" t="n"/>
    </row>
    <row r="78">
      <c r="A78" s="21" t="n"/>
      <c r="B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3" t="n"/>
      <c r="AL78" s="23" t="n"/>
    </row>
    <row r="79">
      <c r="A79" s="21" t="n"/>
      <c r="B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3" t="n"/>
      <c r="AL79" s="23" t="n"/>
    </row>
    <row r="80">
      <c r="A80" s="21" t="n"/>
      <c r="B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3" t="n"/>
      <c r="AL80" s="23" t="n"/>
    </row>
    <row r="81">
      <c r="A81" s="21" t="n"/>
      <c r="B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3" t="n"/>
      <c r="AL81" s="23" t="n"/>
    </row>
    <row r="82">
      <c r="A82" s="21" t="n"/>
      <c r="B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3" t="n"/>
      <c r="AL82" s="23" t="n"/>
    </row>
    <row r="83">
      <c r="A83" s="21" t="n"/>
      <c r="B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3" t="n"/>
      <c r="AL83" s="23" t="n"/>
    </row>
    <row r="84">
      <c r="A84" s="21" t="n"/>
      <c r="B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3" t="n"/>
      <c r="AL84" s="23" t="n"/>
    </row>
    <row r="85">
      <c r="A85" s="21" t="n"/>
      <c r="B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3" t="n"/>
      <c r="AL85" s="23" t="n"/>
    </row>
    <row r="86">
      <c r="A86" s="21" t="n"/>
      <c r="B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3" t="n"/>
      <c r="AL86" s="23" t="n"/>
    </row>
    <row r="87">
      <c r="A87" s="21" t="n"/>
      <c r="B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3" t="n"/>
      <c r="AL87" s="23" t="n"/>
    </row>
    <row r="88">
      <c r="A88" s="21" t="n"/>
      <c r="B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3" t="n"/>
      <c r="AL88" s="23" t="n"/>
    </row>
    <row r="89">
      <c r="A89" s="21" t="n"/>
      <c r="B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3" t="n"/>
      <c r="AL89" s="23" t="n"/>
    </row>
    <row r="90">
      <c r="A90" s="21" t="n"/>
      <c r="B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3" t="n"/>
      <c r="AL90" s="23" t="n"/>
    </row>
    <row r="91">
      <c r="A91" s="21" t="n"/>
      <c r="B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3" t="n"/>
      <c r="AL91" s="23" t="n"/>
    </row>
    <row r="92">
      <c r="A92" s="21" t="n"/>
      <c r="B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3" t="n"/>
      <c r="AL92" s="23" t="n"/>
    </row>
    <row r="93">
      <c r="A93" s="21" t="n"/>
      <c r="B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3" t="n"/>
      <c r="AL93" s="23" t="n"/>
    </row>
    <row r="94">
      <c r="A94" s="21" t="n"/>
      <c r="B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3" t="n"/>
      <c r="AL94" s="23" t="n"/>
    </row>
    <row r="95">
      <c r="A95" s="21" t="n"/>
      <c r="B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3" t="n"/>
      <c r="AL95" s="23" t="n"/>
    </row>
    <row r="96">
      <c r="A96" s="21" t="n"/>
      <c r="B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3" t="n"/>
      <c r="AL96" s="23" t="n"/>
    </row>
    <row r="97">
      <c r="A97" s="21" t="n"/>
      <c r="B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3" t="n"/>
      <c r="AL97" s="23" t="n"/>
    </row>
    <row r="98">
      <c r="A98" s="21" t="n"/>
      <c r="B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3" t="n"/>
      <c r="AL98" s="23" t="n"/>
    </row>
    <row r="99">
      <c r="A99" s="21" t="n"/>
      <c r="B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3" t="n"/>
      <c r="AL99" s="23" t="n"/>
    </row>
    <row r="100">
      <c r="A100" s="21" t="n"/>
      <c r="B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3" t="n"/>
      <c r="AL100" s="23" t="n"/>
    </row>
    <row r="101">
      <c r="A101" s="21" t="n"/>
      <c r="B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3" t="n"/>
      <c r="AL101" s="23" t="n"/>
    </row>
    <row r="102">
      <c r="A102" s="21" t="n"/>
      <c r="B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3" t="n"/>
      <c r="AL102" s="23" t="n"/>
    </row>
    <row r="103">
      <c r="A103" s="21" t="n"/>
      <c r="B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3" t="n"/>
      <c r="AL103" s="23" t="n"/>
    </row>
    <row r="104">
      <c r="A104" s="21" t="n"/>
      <c r="B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3" t="n"/>
      <c r="AL104" s="23" t="n"/>
    </row>
    <row r="105">
      <c r="A105" s="21" t="n"/>
      <c r="B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3" t="n"/>
      <c r="AL105" s="23" t="n"/>
    </row>
    <row r="106">
      <c r="A106" s="21" t="n"/>
      <c r="B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3" t="n"/>
      <c r="AL106" s="23" t="n"/>
    </row>
    <row r="107">
      <c r="A107" s="21" t="n"/>
      <c r="B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3" t="n"/>
      <c r="AL107" s="23" t="n"/>
    </row>
    <row r="108">
      <c r="A108" s="21" t="n"/>
      <c r="B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3" t="n"/>
      <c r="AL108" s="23" t="n"/>
    </row>
    <row r="109">
      <c r="A109" s="21" t="n"/>
      <c r="B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3" t="n"/>
      <c r="AL109" s="23" t="n"/>
    </row>
    <row r="110">
      <c r="A110" s="21" t="n"/>
      <c r="B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3" t="n"/>
      <c r="AL110" s="23" t="n"/>
    </row>
    <row r="111">
      <c r="A111" s="21" t="n"/>
      <c r="B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3" t="n"/>
      <c r="AL111" s="23" t="n"/>
    </row>
    <row r="112">
      <c r="A112" s="21" t="n"/>
      <c r="B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3" t="n"/>
      <c r="AL112" s="23" t="n"/>
    </row>
    <row r="113">
      <c r="A113" s="21" t="n"/>
      <c r="B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3" t="n"/>
      <c r="AL113" s="23" t="n"/>
    </row>
    <row r="114">
      <c r="A114" s="21" t="n"/>
      <c r="B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3" t="n"/>
      <c r="AL114" s="23" t="n"/>
    </row>
    <row r="115">
      <c r="A115" s="21" t="n"/>
      <c r="B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3" t="n"/>
      <c r="AL115" s="23" t="n"/>
    </row>
    <row r="116">
      <c r="A116" s="21" t="n"/>
      <c r="B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3" t="n"/>
      <c r="AL116" s="23" t="n"/>
    </row>
    <row r="117">
      <c r="A117" s="21" t="n"/>
      <c r="B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3" t="n"/>
      <c r="AL117" s="23" t="n"/>
    </row>
    <row r="118">
      <c r="A118" s="21" t="n"/>
      <c r="B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3" t="n"/>
      <c r="AL118" s="23" t="n"/>
    </row>
    <row r="119">
      <c r="A119" s="21" t="n"/>
      <c r="B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3" t="n"/>
      <c r="AL119" s="23" t="n"/>
    </row>
    <row r="120">
      <c r="A120" s="21" t="n"/>
      <c r="B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3" t="n"/>
      <c r="AL120" s="23" t="n"/>
    </row>
    <row r="121">
      <c r="A121" s="21" t="n"/>
      <c r="B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3" t="n"/>
      <c r="AL121" s="23" t="n"/>
    </row>
    <row r="122">
      <c r="A122" s="21" t="n"/>
      <c r="B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3" t="n"/>
      <c r="AL122" s="23" t="n"/>
    </row>
    <row r="123">
      <c r="A123" s="21" t="n"/>
      <c r="B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3" t="n"/>
      <c r="AL123" s="23" t="n"/>
    </row>
    <row r="124">
      <c r="A124" s="21" t="n"/>
      <c r="B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3" t="n"/>
      <c r="AL124" s="23" t="n"/>
    </row>
    <row r="125">
      <c r="A125" s="21" t="n"/>
      <c r="B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3" t="n"/>
      <c r="AL125" s="23" t="n"/>
    </row>
    <row r="126">
      <c r="A126" s="21" t="n"/>
      <c r="B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  <c r="AI126" s="21" t="n"/>
      <c r="AJ126" s="21" t="n"/>
      <c r="AK126" s="23" t="n"/>
      <c r="AL126" s="23" t="n"/>
    </row>
    <row r="127">
      <c r="A127" s="21" t="n"/>
      <c r="B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3" t="n"/>
      <c r="AL127" s="23" t="n"/>
    </row>
    <row r="128">
      <c r="A128" s="21" t="n"/>
      <c r="B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3" t="n"/>
      <c r="AL128" s="23" t="n"/>
    </row>
    <row r="129">
      <c r="A129" s="21" t="n"/>
      <c r="B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3" t="n"/>
      <c r="AL129" s="23" t="n"/>
    </row>
    <row r="130">
      <c r="A130" s="21" t="n"/>
      <c r="B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3" t="n"/>
      <c r="AL130" s="23" t="n"/>
    </row>
    <row r="131">
      <c r="A131" s="21" t="n"/>
      <c r="B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3" t="n"/>
      <c r="AL131" s="23" t="n"/>
    </row>
    <row r="132">
      <c r="A132" s="25" t="n"/>
      <c r="B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  <c r="AA132" s="25" t="n"/>
      <c r="AB132" s="25" t="n"/>
      <c r="AC132" s="25" t="n"/>
      <c r="AD132" s="25" t="n"/>
      <c r="AE132" s="25" t="n"/>
      <c r="AF132" s="25" t="n"/>
      <c r="AG132" s="25" t="n"/>
      <c r="AH132" s="25" t="n"/>
      <c r="AI132" s="25" t="n"/>
      <c r="AJ132" s="25" t="n"/>
      <c r="AK132" s="4" t="n"/>
      <c r="AL132" s="4" t="n"/>
    </row>
    <row r="133">
      <c r="A133" s="25" t="n"/>
      <c r="B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  <c r="AA133" s="25" t="n"/>
      <c r="AB133" s="25" t="n"/>
      <c r="AC133" s="25" t="n"/>
      <c r="AD133" s="25" t="n"/>
      <c r="AE133" s="25" t="n"/>
      <c r="AF133" s="25" t="n"/>
      <c r="AG133" s="25" t="n"/>
      <c r="AH133" s="25" t="n"/>
      <c r="AI133" s="25" t="n"/>
      <c r="AJ133" s="25" t="n"/>
      <c r="AK133" s="4" t="n"/>
      <c r="AL133" s="4" t="n"/>
    </row>
    <row r="134">
      <c r="A134" s="25" t="n"/>
      <c r="B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5" t="n"/>
      <c r="AD134" s="25" t="n"/>
      <c r="AE134" s="25" t="n"/>
      <c r="AF134" s="25" t="n"/>
      <c r="AG134" s="25" t="n"/>
      <c r="AH134" s="25" t="n"/>
      <c r="AI134" s="25" t="n"/>
      <c r="AJ134" s="25" t="n"/>
      <c r="AK134" s="4" t="n"/>
      <c r="AL134" s="4" t="n"/>
    </row>
    <row r="135">
      <c r="A135" s="25" t="n"/>
      <c r="B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  <c r="AA135" s="25" t="n"/>
      <c r="AB135" s="25" t="n"/>
      <c r="AC135" s="25" t="n"/>
      <c r="AD135" s="25" t="n"/>
      <c r="AE135" s="25" t="n"/>
      <c r="AF135" s="25" t="n"/>
      <c r="AG135" s="25" t="n"/>
      <c r="AH135" s="25" t="n"/>
      <c r="AI135" s="25" t="n"/>
      <c r="AJ135" s="25" t="n"/>
      <c r="AK135" s="4" t="n"/>
      <c r="AL135" s="4" t="n"/>
    </row>
    <row r="136">
      <c r="A136" s="25" t="n"/>
      <c r="B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  <c r="AA136" s="25" t="n"/>
      <c r="AB136" s="25" t="n"/>
      <c r="AC136" s="25" t="n"/>
      <c r="AD136" s="25" t="n"/>
      <c r="AE136" s="25" t="n"/>
      <c r="AF136" s="25" t="n"/>
      <c r="AG136" s="25" t="n"/>
      <c r="AH136" s="25" t="n"/>
      <c r="AI136" s="25" t="n"/>
      <c r="AJ136" s="25" t="n"/>
      <c r="AK136" s="4" t="n"/>
      <c r="AL136" s="4" t="n"/>
    </row>
    <row r="137">
      <c r="A137" s="25" t="n"/>
      <c r="B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  <c r="AA137" s="25" t="n"/>
      <c r="AB137" s="25" t="n"/>
      <c r="AC137" s="25" t="n"/>
      <c r="AD137" s="25" t="n"/>
      <c r="AE137" s="25" t="n"/>
      <c r="AF137" s="25" t="n"/>
      <c r="AG137" s="25" t="n"/>
      <c r="AH137" s="25" t="n"/>
      <c r="AI137" s="25" t="n"/>
      <c r="AJ137" s="25" t="n"/>
      <c r="AK137" s="4" t="n"/>
      <c r="AL137" s="4" t="n"/>
    </row>
    <row r="138">
      <c r="A138" s="25" t="n"/>
      <c r="B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  <c r="AA138" s="25" t="n"/>
      <c r="AB138" s="25" t="n"/>
      <c r="AC138" s="25" t="n"/>
      <c r="AD138" s="25" t="n"/>
      <c r="AE138" s="25" t="n"/>
      <c r="AF138" s="25" t="n"/>
      <c r="AG138" s="25" t="n"/>
      <c r="AH138" s="25" t="n"/>
      <c r="AI138" s="25" t="n"/>
      <c r="AJ138" s="25" t="n"/>
      <c r="AK138" s="4" t="n"/>
      <c r="AL138" s="4" t="n"/>
    </row>
    <row r="139">
      <c r="A139" s="25" t="n"/>
      <c r="B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  <c r="AA139" s="25" t="n"/>
      <c r="AB139" s="25" t="n"/>
      <c r="AC139" s="25" t="n"/>
      <c r="AD139" s="25" t="n"/>
      <c r="AE139" s="25" t="n"/>
      <c r="AF139" s="25" t="n"/>
      <c r="AG139" s="25" t="n"/>
      <c r="AH139" s="25" t="n"/>
      <c r="AI139" s="25" t="n"/>
      <c r="AJ139" s="25" t="n"/>
      <c r="AK139" s="4" t="n"/>
      <c r="AL139" s="4" t="n"/>
    </row>
    <row r="140">
      <c r="A140" s="25" t="n"/>
      <c r="B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  <c r="AA140" s="25" t="n"/>
      <c r="AB140" s="25" t="n"/>
      <c r="AC140" s="25" t="n"/>
      <c r="AD140" s="25" t="n"/>
      <c r="AE140" s="25" t="n"/>
      <c r="AF140" s="25" t="n"/>
      <c r="AG140" s="25" t="n"/>
      <c r="AH140" s="25" t="n"/>
      <c r="AI140" s="25" t="n"/>
      <c r="AJ140" s="25" t="n"/>
      <c r="AK140" s="4" t="n"/>
      <c r="AL140" s="4" t="n"/>
    </row>
    <row r="141">
      <c r="A141" s="25" t="n"/>
      <c r="B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  <c r="AA141" s="25" t="n"/>
      <c r="AB141" s="25" t="n"/>
      <c r="AC141" s="25" t="n"/>
      <c r="AD141" s="25" t="n"/>
      <c r="AE141" s="25" t="n"/>
      <c r="AF141" s="25" t="n"/>
      <c r="AG141" s="25" t="n"/>
      <c r="AH141" s="25" t="n"/>
      <c r="AI141" s="25" t="n"/>
      <c r="AJ141" s="25" t="n"/>
      <c r="AK141" s="4" t="n"/>
      <c r="AL141" s="4" t="n"/>
    </row>
    <row r="142">
      <c r="A142" s="25" t="n"/>
      <c r="B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  <c r="AA142" s="25" t="n"/>
      <c r="AB142" s="25" t="n"/>
      <c r="AC142" s="25" t="n"/>
      <c r="AD142" s="25" t="n"/>
      <c r="AE142" s="25" t="n"/>
      <c r="AF142" s="25" t="n"/>
      <c r="AG142" s="25" t="n"/>
      <c r="AH142" s="25" t="n"/>
      <c r="AI142" s="25" t="n"/>
      <c r="AJ142" s="25" t="n"/>
      <c r="AK142" s="4" t="n"/>
      <c r="AL142" s="4" t="n"/>
    </row>
    <row r="143">
      <c r="A143" s="25" t="n"/>
      <c r="B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5" t="n"/>
      <c r="AD143" s="25" t="n"/>
      <c r="AE143" s="25" t="n"/>
      <c r="AF143" s="25" t="n"/>
      <c r="AG143" s="25" t="n"/>
      <c r="AH143" s="25" t="n"/>
      <c r="AI143" s="25" t="n"/>
      <c r="AJ143" s="25" t="n"/>
      <c r="AK143" s="4" t="n"/>
      <c r="AL143" s="4" t="n"/>
    </row>
    <row r="144">
      <c r="A144" s="25" t="n"/>
      <c r="B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  <c r="AA144" s="25" t="n"/>
      <c r="AB144" s="25" t="n"/>
      <c r="AC144" s="25" t="n"/>
      <c r="AD144" s="25" t="n"/>
      <c r="AE144" s="25" t="n"/>
      <c r="AF144" s="25" t="n"/>
      <c r="AG144" s="25" t="n"/>
      <c r="AH144" s="25" t="n"/>
      <c r="AI144" s="25" t="n"/>
      <c r="AJ144" s="25" t="n"/>
      <c r="AK144" s="4" t="n"/>
      <c r="AL144" s="4" t="n"/>
    </row>
    <row r="145">
      <c r="A145" s="25" t="n"/>
      <c r="B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  <c r="AA145" s="25" t="n"/>
      <c r="AB145" s="25" t="n"/>
      <c r="AC145" s="25" t="n"/>
      <c r="AD145" s="25" t="n"/>
      <c r="AE145" s="25" t="n"/>
      <c r="AF145" s="25" t="n"/>
      <c r="AG145" s="25" t="n"/>
      <c r="AH145" s="25" t="n"/>
      <c r="AI145" s="25" t="n"/>
      <c r="AJ145" s="25" t="n"/>
      <c r="AK145" s="4" t="n"/>
      <c r="AL145" s="4" t="n"/>
    </row>
    <row r="146">
      <c r="A146" s="25" t="n"/>
      <c r="B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  <c r="AA146" s="25" t="n"/>
      <c r="AB146" s="25" t="n"/>
      <c r="AC146" s="25" t="n"/>
      <c r="AD146" s="25" t="n"/>
      <c r="AE146" s="25" t="n"/>
      <c r="AF146" s="25" t="n"/>
      <c r="AG146" s="25" t="n"/>
      <c r="AH146" s="25" t="n"/>
      <c r="AI146" s="25" t="n"/>
      <c r="AJ146" s="25" t="n"/>
      <c r="AK146" s="4" t="n"/>
      <c r="AL146" s="4" t="n"/>
    </row>
    <row r="147">
      <c r="A147" s="25" t="n"/>
      <c r="B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  <c r="AA147" s="25" t="n"/>
      <c r="AB147" s="25" t="n"/>
      <c r="AC147" s="25" t="n"/>
      <c r="AD147" s="25" t="n"/>
      <c r="AE147" s="25" t="n"/>
      <c r="AF147" s="25" t="n"/>
      <c r="AG147" s="25" t="n"/>
      <c r="AH147" s="25" t="n"/>
      <c r="AI147" s="25" t="n"/>
      <c r="AJ147" s="25" t="n"/>
      <c r="AK147" s="4" t="n"/>
      <c r="AL147" s="4" t="n"/>
    </row>
    <row r="148">
      <c r="A148" s="25" t="n"/>
      <c r="B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  <c r="AA148" s="25" t="n"/>
      <c r="AB148" s="25" t="n"/>
      <c r="AC148" s="25" t="n"/>
      <c r="AD148" s="25" t="n"/>
      <c r="AE148" s="25" t="n"/>
      <c r="AF148" s="25" t="n"/>
      <c r="AG148" s="25" t="n"/>
      <c r="AH148" s="25" t="n"/>
      <c r="AI148" s="25" t="n"/>
      <c r="AJ148" s="25" t="n"/>
      <c r="AK148" s="4" t="n"/>
      <c r="AL148" s="4" t="n"/>
    </row>
    <row r="149">
      <c r="A149" s="25" t="n"/>
      <c r="B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  <c r="AA149" s="25" t="n"/>
      <c r="AB149" s="25" t="n"/>
      <c r="AC149" s="25" t="n"/>
      <c r="AD149" s="25" t="n"/>
      <c r="AE149" s="25" t="n"/>
      <c r="AF149" s="25" t="n"/>
      <c r="AG149" s="25" t="n"/>
      <c r="AH149" s="25" t="n"/>
      <c r="AI149" s="25" t="n"/>
      <c r="AJ149" s="25" t="n"/>
      <c r="AK149" s="4" t="n"/>
      <c r="AL149" s="4" t="n"/>
    </row>
    <row r="150">
      <c r="A150" s="25" t="n"/>
      <c r="B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  <c r="AA150" s="25" t="n"/>
      <c r="AB150" s="25" t="n"/>
      <c r="AC150" s="25" t="n"/>
      <c r="AD150" s="25" t="n"/>
      <c r="AE150" s="25" t="n"/>
      <c r="AF150" s="25" t="n"/>
      <c r="AG150" s="25" t="n"/>
      <c r="AH150" s="25" t="n"/>
      <c r="AI150" s="25" t="n"/>
      <c r="AJ150" s="25" t="n"/>
      <c r="AK150" s="4" t="n"/>
      <c r="AL150" s="4" t="n"/>
    </row>
    <row r="151">
      <c r="A151" s="25" t="n"/>
      <c r="B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  <c r="AA151" s="25" t="n"/>
      <c r="AB151" s="25" t="n"/>
      <c r="AC151" s="25" t="n"/>
      <c r="AD151" s="25" t="n"/>
      <c r="AE151" s="25" t="n"/>
      <c r="AF151" s="25" t="n"/>
      <c r="AG151" s="25" t="n"/>
      <c r="AH151" s="25" t="n"/>
      <c r="AI151" s="25" t="n"/>
      <c r="AJ151" s="25" t="n"/>
      <c r="AK151" s="4" t="n"/>
      <c r="AL151" s="4" t="n"/>
    </row>
    <row r="152">
      <c r="A152" s="25" t="n"/>
      <c r="B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  <c r="AA152" s="25" t="n"/>
      <c r="AB152" s="25" t="n"/>
      <c r="AC152" s="25" t="n"/>
      <c r="AD152" s="25" t="n"/>
      <c r="AE152" s="25" t="n"/>
      <c r="AF152" s="25" t="n"/>
      <c r="AG152" s="25" t="n"/>
      <c r="AH152" s="25" t="n"/>
      <c r="AI152" s="25" t="n"/>
      <c r="AJ152" s="25" t="n"/>
      <c r="AK152" s="4" t="n"/>
      <c r="AL152" s="4" t="n"/>
    </row>
    <row r="153">
      <c r="A153" s="25" t="n"/>
      <c r="B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  <c r="AA153" s="25" t="n"/>
      <c r="AB153" s="25" t="n"/>
      <c r="AC153" s="25" t="n"/>
      <c r="AD153" s="25" t="n"/>
      <c r="AE153" s="25" t="n"/>
      <c r="AF153" s="25" t="n"/>
      <c r="AG153" s="25" t="n"/>
      <c r="AH153" s="25" t="n"/>
      <c r="AI153" s="25" t="n"/>
      <c r="AJ153" s="25" t="n"/>
      <c r="AK153" s="4" t="n"/>
      <c r="AL153" s="4" t="n"/>
    </row>
    <row r="154">
      <c r="A154" s="25" t="n"/>
      <c r="B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  <c r="AA154" s="25" t="n"/>
      <c r="AB154" s="25" t="n"/>
      <c r="AC154" s="25" t="n"/>
      <c r="AD154" s="25" t="n"/>
      <c r="AE154" s="25" t="n"/>
      <c r="AF154" s="25" t="n"/>
      <c r="AG154" s="25" t="n"/>
      <c r="AH154" s="25" t="n"/>
      <c r="AI154" s="25" t="n"/>
      <c r="AJ154" s="25" t="n"/>
      <c r="AK154" s="4" t="n"/>
      <c r="AL154" s="4" t="n"/>
    </row>
    <row r="155">
      <c r="A155" s="25" t="n"/>
      <c r="B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  <c r="AA155" s="25" t="n"/>
      <c r="AB155" s="25" t="n"/>
      <c r="AC155" s="25" t="n"/>
      <c r="AD155" s="25" t="n"/>
      <c r="AE155" s="25" t="n"/>
      <c r="AF155" s="25" t="n"/>
      <c r="AG155" s="25" t="n"/>
      <c r="AH155" s="25" t="n"/>
      <c r="AI155" s="25" t="n"/>
      <c r="AJ155" s="25" t="n"/>
      <c r="AK155" s="4" t="n"/>
      <c r="AL155" s="4" t="n"/>
    </row>
    <row r="156">
      <c r="A156" s="25" t="n"/>
      <c r="B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5" t="n"/>
      <c r="AI156" s="25" t="n"/>
      <c r="AJ156" s="25" t="n"/>
      <c r="AK156" s="4" t="n"/>
      <c r="AL156" s="4" t="n"/>
    </row>
    <row r="157">
      <c r="A157" s="25" t="n"/>
      <c r="B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  <c r="AA157" s="25" t="n"/>
      <c r="AB157" s="25" t="n"/>
      <c r="AC157" s="25" t="n"/>
      <c r="AD157" s="25" t="n"/>
      <c r="AE157" s="25" t="n"/>
      <c r="AF157" s="25" t="n"/>
      <c r="AG157" s="25" t="n"/>
      <c r="AH157" s="25" t="n"/>
      <c r="AI157" s="25" t="n"/>
      <c r="AJ157" s="25" t="n"/>
      <c r="AK157" s="4" t="n"/>
      <c r="AL157" s="4" t="n"/>
    </row>
    <row r="158">
      <c r="A158" s="25" t="n"/>
      <c r="B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  <c r="AA158" s="25" t="n"/>
      <c r="AB158" s="25" t="n"/>
      <c r="AC158" s="25" t="n"/>
      <c r="AD158" s="25" t="n"/>
      <c r="AE158" s="25" t="n"/>
      <c r="AF158" s="25" t="n"/>
      <c r="AG158" s="25" t="n"/>
      <c r="AH158" s="25" t="n"/>
      <c r="AI158" s="25" t="n"/>
      <c r="AJ158" s="25" t="n"/>
      <c r="AK158" s="4" t="n"/>
      <c r="AL158" s="4" t="n"/>
    </row>
    <row r="159">
      <c r="A159" s="25" t="n"/>
      <c r="B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  <c r="AA159" s="25" t="n"/>
      <c r="AB159" s="25" t="n"/>
      <c r="AC159" s="25" t="n"/>
      <c r="AD159" s="25" t="n"/>
      <c r="AE159" s="25" t="n"/>
      <c r="AF159" s="25" t="n"/>
      <c r="AG159" s="25" t="n"/>
      <c r="AH159" s="25" t="n"/>
      <c r="AI159" s="25" t="n"/>
      <c r="AJ159" s="25" t="n"/>
      <c r="AK159" s="4" t="n"/>
      <c r="AL159" s="4" t="n"/>
    </row>
    <row r="160">
      <c r="A160" s="25" t="n"/>
      <c r="B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  <c r="AA160" s="25" t="n"/>
      <c r="AB160" s="25" t="n"/>
      <c r="AC160" s="25" t="n"/>
      <c r="AD160" s="25" t="n"/>
      <c r="AE160" s="25" t="n"/>
      <c r="AF160" s="25" t="n"/>
      <c r="AG160" s="25" t="n"/>
      <c r="AH160" s="25" t="n"/>
      <c r="AI160" s="25" t="n"/>
      <c r="AJ160" s="25" t="n"/>
      <c r="AK160" s="4" t="n"/>
      <c r="AL160" s="4" t="n"/>
    </row>
    <row r="161">
      <c r="A161" s="25" t="n"/>
      <c r="B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  <c r="AA161" s="25" t="n"/>
      <c r="AB161" s="25" t="n"/>
      <c r="AC161" s="25" t="n"/>
      <c r="AD161" s="25" t="n"/>
      <c r="AE161" s="25" t="n"/>
      <c r="AF161" s="25" t="n"/>
      <c r="AG161" s="25" t="n"/>
      <c r="AH161" s="25" t="n"/>
      <c r="AI161" s="25" t="n"/>
      <c r="AJ161" s="25" t="n"/>
      <c r="AK161" s="4" t="n"/>
      <c r="AL161" s="4" t="n"/>
    </row>
    <row r="162">
      <c r="A162" s="25" t="n"/>
      <c r="B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  <c r="AA162" s="25" t="n"/>
      <c r="AB162" s="25" t="n"/>
      <c r="AC162" s="25" t="n"/>
      <c r="AD162" s="25" t="n"/>
      <c r="AE162" s="25" t="n"/>
      <c r="AF162" s="25" t="n"/>
      <c r="AG162" s="25" t="n"/>
      <c r="AH162" s="25" t="n"/>
      <c r="AI162" s="25" t="n"/>
      <c r="AJ162" s="25" t="n"/>
      <c r="AK162" s="4" t="n"/>
      <c r="AL162" s="4" t="n"/>
    </row>
    <row r="163">
      <c r="A163" s="25" t="n"/>
      <c r="B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  <c r="AA163" s="25" t="n"/>
      <c r="AB163" s="25" t="n"/>
      <c r="AC163" s="25" t="n"/>
      <c r="AD163" s="25" t="n"/>
      <c r="AE163" s="25" t="n"/>
      <c r="AF163" s="25" t="n"/>
      <c r="AG163" s="25" t="n"/>
      <c r="AH163" s="25" t="n"/>
      <c r="AI163" s="25" t="n"/>
      <c r="AJ163" s="25" t="n"/>
      <c r="AK163" s="4" t="n"/>
      <c r="AL163" s="4" t="n"/>
    </row>
    <row r="164">
      <c r="A164" s="25" t="n"/>
      <c r="B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  <c r="AA164" s="25" t="n"/>
      <c r="AB164" s="25" t="n"/>
      <c r="AC164" s="25" t="n"/>
      <c r="AD164" s="25" t="n"/>
      <c r="AE164" s="25" t="n"/>
      <c r="AF164" s="25" t="n"/>
      <c r="AG164" s="25" t="n"/>
      <c r="AH164" s="25" t="n"/>
      <c r="AI164" s="25" t="n"/>
      <c r="AJ164" s="25" t="n"/>
      <c r="AK164" s="4" t="n"/>
      <c r="AL164" s="4" t="n"/>
    </row>
    <row r="165">
      <c r="A165" s="25" t="n"/>
      <c r="B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  <c r="AA165" s="25" t="n"/>
      <c r="AB165" s="25" t="n"/>
      <c r="AC165" s="25" t="n"/>
      <c r="AD165" s="25" t="n"/>
      <c r="AE165" s="25" t="n"/>
      <c r="AF165" s="25" t="n"/>
      <c r="AG165" s="25" t="n"/>
      <c r="AH165" s="25" t="n"/>
      <c r="AI165" s="25" t="n"/>
      <c r="AJ165" s="25" t="n"/>
      <c r="AK165" s="4" t="n"/>
      <c r="AL165" s="4" t="n"/>
    </row>
    <row r="166">
      <c r="A166" s="25" t="n"/>
      <c r="B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  <c r="AA166" s="25" t="n"/>
      <c r="AB166" s="25" t="n"/>
      <c r="AC166" s="25" t="n"/>
      <c r="AD166" s="25" t="n"/>
      <c r="AE166" s="25" t="n"/>
      <c r="AF166" s="25" t="n"/>
      <c r="AG166" s="25" t="n"/>
      <c r="AH166" s="25" t="n"/>
      <c r="AI166" s="25" t="n"/>
      <c r="AJ166" s="25" t="n"/>
      <c r="AK166" s="4" t="n"/>
      <c r="AL166" s="4" t="n"/>
    </row>
    <row r="167">
      <c r="A167" s="25" t="n"/>
      <c r="B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  <c r="AA167" s="25" t="n"/>
      <c r="AB167" s="25" t="n"/>
      <c r="AC167" s="25" t="n"/>
      <c r="AD167" s="25" t="n"/>
      <c r="AE167" s="25" t="n"/>
      <c r="AF167" s="25" t="n"/>
      <c r="AG167" s="25" t="n"/>
      <c r="AH167" s="25" t="n"/>
      <c r="AI167" s="25" t="n"/>
      <c r="AJ167" s="25" t="n"/>
      <c r="AK167" s="4" t="n"/>
      <c r="AL167" s="4" t="n"/>
    </row>
    <row r="168">
      <c r="A168" s="25" t="n"/>
      <c r="B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  <c r="AA168" s="25" t="n"/>
      <c r="AB168" s="25" t="n"/>
      <c r="AC168" s="25" t="n"/>
      <c r="AD168" s="25" t="n"/>
      <c r="AE168" s="25" t="n"/>
      <c r="AF168" s="25" t="n"/>
      <c r="AG168" s="25" t="n"/>
      <c r="AH168" s="25" t="n"/>
      <c r="AI168" s="25" t="n"/>
      <c r="AJ168" s="25" t="n"/>
      <c r="AK168" s="4" t="n"/>
      <c r="AL168" s="4" t="n"/>
    </row>
    <row r="169">
      <c r="A169" s="25" t="n"/>
      <c r="B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5" t="n"/>
      <c r="AI169" s="25" t="n"/>
      <c r="AJ169" s="25" t="n"/>
      <c r="AK169" s="4" t="n"/>
      <c r="AL169" s="4" t="n"/>
    </row>
    <row r="170">
      <c r="A170" s="25" t="n"/>
      <c r="B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  <c r="AA170" s="25" t="n"/>
      <c r="AB170" s="25" t="n"/>
      <c r="AC170" s="25" t="n"/>
      <c r="AD170" s="25" t="n"/>
      <c r="AE170" s="25" t="n"/>
      <c r="AF170" s="25" t="n"/>
      <c r="AG170" s="25" t="n"/>
      <c r="AH170" s="25" t="n"/>
      <c r="AI170" s="25" t="n"/>
      <c r="AJ170" s="25" t="n"/>
      <c r="AK170" s="4" t="n"/>
      <c r="AL170" s="4" t="n"/>
    </row>
    <row r="171">
      <c r="A171" s="25" t="n"/>
      <c r="B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  <c r="AA171" s="25" t="n"/>
      <c r="AB171" s="25" t="n"/>
      <c r="AC171" s="25" t="n"/>
      <c r="AD171" s="25" t="n"/>
      <c r="AE171" s="25" t="n"/>
      <c r="AF171" s="25" t="n"/>
      <c r="AG171" s="25" t="n"/>
      <c r="AH171" s="25" t="n"/>
      <c r="AI171" s="25" t="n"/>
      <c r="AJ171" s="25" t="n"/>
      <c r="AK171" s="4" t="n"/>
      <c r="AL171" s="4" t="n"/>
    </row>
    <row r="172">
      <c r="A172" s="25" t="n"/>
      <c r="B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  <c r="AA172" s="25" t="n"/>
      <c r="AB172" s="25" t="n"/>
      <c r="AC172" s="25" t="n"/>
      <c r="AD172" s="25" t="n"/>
      <c r="AE172" s="25" t="n"/>
      <c r="AF172" s="25" t="n"/>
      <c r="AG172" s="25" t="n"/>
      <c r="AH172" s="25" t="n"/>
      <c r="AI172" s="25" t="n"/>
      <c r="AJ172" s="25" t="n"/>
      <c r="AK172" s="4" t="n"/>
      <c r="AL172" s="4" t="n"/>
    </row>
    <row r="173">
      <c r="A173" s="25" t="n"/>
      <c r="B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  <c r="AA173" s="25" t="n"/>
      <c r="AB173" s="25" t="n"/>
      <c r="AC173" s="25" t="n"/>
      <c r="AD173" s="25" t="n"/>
      <c r="AE173" s="25" t="n"/>
      <c r="AF173" s="25" t="n"/>
      <c r="AG173" s="25" t="n"/>
      <c r="AH173" s="25" t="n"/>
      <c r="AI173" s="25" t="n"/>
      <c r="AJ173" s="25" t="n"/>
      <c r="AK173" s="4" t="n"/>
      <c r="AL173" s="4" t="n"/>
    </row>
    <row r="174">
      <c r="A174" s="25" t="n"/>
      <c r="B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  <c r="AA174" s="25" t="n"/>
      <c r="AB174" s="25" t="n"/>
      <c r="AC174" s="25" t="n"/>
      <c r="AD174" s="25" t="n"/>
      <c r="AE174" s="25" t="n"/>
      <c r="AF174" s="25" t="n"/>
      <c r="AG174" s="25" t="n"/>
      <c r="AH174" s="25" t="n"/>
      <c r="AI174" s="25" t="n"/>
      <c r="AJ174" s="25" t="n"/>
      <c r="AK174" s="4" t="n"/>
      <c r="AL174" s="4" t="n"/>
    </row>
    <row r="175">
      <c r="A175" s="25" t="n"/>
      <c r="B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  <c r="AA175" s="25" t="n"/>
      <c r="AB175" s="25" t="n"/>
      <c r="AC175" s="25" t="n"/>
      <c r="AD175" s="25" t="n"/>
      <c r="AE175" s="25" t="n"/>
      <c r="AF175" s="25" t="n"/>
      <c r="AG175" s="25" t="n"/>
      <c r="AH175" s="25" t="n"/>
      <c r="AI175" s="25" t="n"/>
      <c r="AJ175" s="25" t="n"/>
      <c r="AK175" s="4" t="n"/>
      <c r="AL175" s="4" t="n"/>
    </row>
    <row r="176">
      <c r="A176" s="25" t="n"/>
      <c r="B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  <c r="AA176" s="25" t="n"/>
      <c r="AB176" s="25" t="n"/>
      <c r="AC176" s="25" t="n"/>
      <c r="AD176" s="25" t="n"/>
      <c r="AE176" s="25" t="n"/>
      <c r="AF176" s="25" t="n"/>
      <c r="AG176" s="25" t="n"/>
      <c r="AH176" s="25" t="n"/>
      <c r="AI176" s="25" t="n"/>
      <c r="AJ176" s="25" t="n"/>
      <c r="AK176" s="4" t="n"/>
      <c r="AL176" s="4" t="n"/>
    </row>
    <row r="177">
      <c r="A177" s="25" t="n"/>
      <c r="B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  <c r="AA177" s="25" t="n"/>
      <c r="AB177" s="25" t="n"/>
      <c r="AC177" s="25" t="n"/>
      <c r="AD177" s="25" t="n"/>
      <c r="AE177" s="25" t="n"/>
      <c r="AF177" s="25" t="n"/>
      <c r="AG177" s="25" t="n"/>
      <c r="AH177" s="25" t="n"/>
      <c r="AI177" s="25" t="n"/>
      <c r="AJ177" s="25" t="n"/>
      <c r="AK177" s="4" t="n"/>
      <c r="AL177" s="4" t="n"/>
    </row>
    <row r="178">
      <c r="A178" s="25" t="n"/>
      <c r="B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5" t="n"/>
      <c r="AI178" s="25" t="n"/>
      <c r="AJ178" s="25" t="n"/>
      <c r="AK178" s="4" t="n"/>
      <c r="AL178" s="4" t="n"/>
    </row>
    <row r="179">
      <c r="A179" s="25" t="n"/>
      <c r="B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25" t="n"/>
      <c r="AD179" s="25" t="n"/>
      <c r="AE179" s="25" t="n"/>
      <c r="AF179" s="25" t="n"/>
      <c r="AG179" s="25" t="n"/>
      <c r="AH179" s="25" t="n"/>
      <c r="AI179" s="25" t="n"/>
      <c r="AJ179" s="25" t="n"/>
      <c r="AK179" s="4" t="n"/>
      <c r="AL179" s="4" t="n"/>
    </row>
    <row r="180">
      <c r="A180" s="25" t="n"/>
      <c r="B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25" t="n"/>
      <c r="AD180" s="25" t="n"/>
      <c r="AE180" s="25" t="n"/>
      <c r="AF180" s="25" t="n"/>
      <c r="AG180" s="25" t="n"/>
      <c r="AH180" s="25" t="n"/>
      <c r="AI180" s="25" t="n"/>
      <c r="AJ180" s="25" t="n"/>
      <c r="AK180" s="4" t="n"/>
      <c r="AL180" s="4" t="n"/>
    </row>
    <row r="181">
      <c r="A181" s="25" t="n"/>
      <c r="B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  <c r="AA181" s="25" t="n"/>
      <c r="AB181" s="25" t="n"/>
      <c r="AC181" s="25" t="n"/>
      <c r="AD181" s="25" t="n"/>
      <c r="AE181" s="25" t="n"/>
      <c r="AF181" s="25" t="n"/>
      <c r="AG181" s="25" t="n"/>
      <c r="AH181" s="25" t="n"/>
      <c r="AI181" s="25" t="n"/>
      <c r="AJ181" s="25" t="n"/>
      <c r="AK181" s="4" t="n"/>
      <c r="AL181" s="4" t="n"/>
    </row>
    <row r="182">
      <c r="A182" s="25" t="n"/>
      <c r="B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  <c r="AA182" s="25" t="n"/>
      <c r="AB182" s="25" t="n"/>
      <c r="AC182" s="25" t="n"/>
      <c r="AD182" s="25" t="n"/>
      <c r="AE182" s="25" t="n"/>
      <c r="AF182" s="25" t="n"/>
      <c r="AG182" s="25" t="n"/>
      <c r="AH182" s="25" t="n"/>
      <c r="AI182" s="25" t="n"/>
      <c r="AJ182" s="25" t="n"/>
      <c r="AK182" s="4" t="n"/>
      <c r="AL182" s="4" t="n"/>
    </row>
    <row r="183">
      <c r="A183" s="25" t="n"/>
      <c r="B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  <c r="AA183" s="25" t="n"/>
      <c r="AB183" s="25" t="n"/>
      <c r="AC183" s="25" t="n"/>
      <c r="AD183" s="25" t="n"/>
      <c r="AE183" s="25" t="n"/>
      <c r="AF183" s="25" t="n"/>
      <c r="AG183" s="25" t="n"/>
      <c r="AH183" s="25" t="n"/>
      <c r="AI183" s="25" t="n"/>
      <c r="AJ183" s="25" t="n"/>
      <c r="AK183" s="4" t="n"/>
      <c r="AL183" s="4" t="n"/>
    </row>
    <row r="184">
      <c r="A184" s="25" t="n"/>
      <c r="B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  <c r="AA184" s="25" t="n"/>
      <c r="AB184" s="25" t="n"/>
      <c r="AC184" s="25" t="n"/>
      <c r="AD184" s="25" t="n"/>
      <c r="AE184" s="25" t="n"/>
      <c r="AF184" s="25" t="n"/>
      <c r="AG184" s="25" t="n"/>
      <c r="AH184" s="25" t="n"/>
      <c r="AI184" s="25" t="n"/>
      <c r="AJ184" s="25" t="n"/>
      <c r="AK184" s="4" t="n"/>
      <c r="AL184" s="4" t="n"/>
    </row>
    <row r="185">
      <c r="A185" s="25" t="n"/>
      <c r="B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  <c r="AA185" s="25" t="n"/>
      <c r="AB185" s="25" t="n"/>
      <c r="AC185" s="25" t="n"/>
      <c r="AD185" s="25" t="n"/>
      <c r="AE185" s="25" t="n"/>
      <c r="AF185" s="25" t="n"/>
      <c r="AG185" s="25" t="n"/>
      <c r="AH185" s="25" t="n"/>
      <c r="AI185" s="25" t="n"/>
      <c r="AJ185" s="25" t="n"/>
      <c r="AK185" s="4" t="n"/>
      <c r="AL185" s="4" t="n"/>
    </row>
    <row r="186">
      <c r="A186" s="25" t="n"/>
      <c r="B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  <c r="AA186" s="25" t="n"/>
      <c r="AB186" s="25" t="n"/>
      <c r="AC186" s="25" t="n"/>
      <c r="AD186" s="25" t="n"/>
      <c r="AE186" s="25" t="n"/>
      <c r="AF186" s="25" t="n"/>
      <c r="AG186" s="25" t="n"/>
      <c r="AH186" s="25" t="n"/>
      <c r="AI186" s="25" t="n"/>
      <c r="AJ186" s="25" t="n"/>
      <c r="AK186" s="4" t="n"/>
      <c r="AL186" s="4" t="n"/>
    </row>
    <row r="187">
      <c r="A187" s="25" t="n"/>
      <c r="B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5" t="n"/>
      <c r="AI187" s="25" t="n"/>
      <c r="AJ187" s="25" t="n"/>
      <c r="AK187" s="4" t="n"/>
      <c r="AL187" s="4" t="n"/>
    </row>
    <row r="188">
      <c r="A188" s="25" t="n"/>
      <c r="B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  <c r="AA188" s="25" t="n"/>
      <c r="AB188" s="25" t="n"/>
      <c r="AC188" s="25" t="n"/>
      <c r="AD188" s="25" t="n"/>
      <c r="AE188" s="25" t="n"/>
      <c r="AF188" s="25" t="n"/>
      <c r="AG188" s="25" t="n"/>
      <c r="AH188" s="25" t="n"/>
      <c r="AI188" s="25" t="n"/>
      <c r="AJ188" s="25" t="n"/>
      <c r="AK188" s="4" t="n"/>
      <c r="AL188" s="4" t="n"/>
    </row>
    <row r="189">
      <c r="A189" s="25" t="n"/>
      <c r="B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  <c r="AC189" s="25" t="n"/>
      <c r="AD189" s="25" t="n"/>
      <c r="AE189" s="25" t="n"/>
      <c r="AF189" s="25" t="n"/>
      <c r="AG189" s="25" t="n"/>
      <c r="AH189" s="25" t="n"/>
      <c r="AI189" s="25" t="n"/>
      <c r="AJ189" s="25" t="n"/>
      <c r="AK189" s="4" t="n"/>
      <c r="AL189" s="4" t="n"/>
    </row>
    <row r="190">
      <c r="A190" s="25" t="n"/>
      <c r="B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  <c r="AC190" s="25" t="n"/>
      <c r="AD190" s="25" t="n"/>
      <c r="AE190" s="25" t="n"/>
      <c r="AF190" s="25" t="n"/>
      <c r="AG190" s="25" t="n"/>
      <c r="AH190" s="25" t="n"/>
      <c r="AI190" s="25" t="n"/>
      <c r="AJ190" s="25" t="n"/>
      <c r="AK190" s="4" t="n"/>
      <c r="AL190" s="4" t="n"/>
    </row>
    <row r="191">
      <c r="A191" s="25" t="n"/>
      <c r="B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  <c r="AA191" s="25" t="n"/>
      <c r="AB191" s="25" t="n"/>
      <c r="AC191" s="25" t="n"/>
      <c r="AD191" s="25" t="n"/>
      <c r="AE191" s="25" t="n"/>
      <c r="AF191" s="25" t="n"/>
      <c r="AG191" s="25" t="n"/>
      <c r="AH191" s="25" t="n"/>
      <c r="AI191" s="25" t="n"/>
      <c r="AJ191" s="25" t="n"/>
      <c r="AK191" s="4" t="n"/>
      <c r="AL191" s="4" t="n"/>
    </row>
    <row r="192">
      <c r="A192" s="25" t="n"/>
      <c r="B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  <c r="AA192" s="25" t="n"/>
      <c r="AB192" s="25" t="n"/>
      <c r="AC192" s="25" t="n"/>
      <c r="AD192" s="25" t="n"/>
      <c r="AE192" s="25" t="n"/>
      <c r="AF192" s="25" t="n"/>
      <c r="AG192" s="25" t="n"/>
      <c r="AH192" s="25" t="n"/>
      <c r="AI192" s="25" t="n"/>
      <c r="AJ192" s="25" t="n"/>
      <c r="AK192" s="4" t="n"/>
      <c r="AL192" s="4" t="n"/>
    </row>
    <row r="193">
      <c r="A193" s="25" t="n"/>
      <c r="B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  <c r="AA193" s="25" t="n"/>
      <c r="AB193" s="25" t="n"/>
      <c r="AC193" s="25" t="n"/>
      <c r="AD193" s="25" t="n"/>
      <c r="AE193" s="25" t="n"/>
      <c r="AF193" s="25" t="n"/>
      <c r="AG193" s="25" t="n"/>
      <c r="AH193" s="25" t="n"/>
      <c r="AI193" s="25" t="n"/>
      <c r="AJ193" s="25" t="n"/>
      <c r="AK193" s="4" t="n"/>
      <c r="AL193" s="4" t="n"/>
    </row>
    <row r="194">
      <c r="A194" s="25" t="n"/>
      <c r="B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  <c r="AA194" s="25" t="n"/>
      <c r="AB194" s="25" t="n"/>
      <c r="AC194" s="25" t="n"/>
      <c r="AD194" s="25" t="n"/>
      <c r="AE194" s="25" t="n"/>
      <c r="AF194" s="25" t="n"/>
      <c r="AG194" s="25" t="n"/>
      <c r="AH194" s="25" t="n"/>
      <c r="AI194" s="25" t="n"/>
      <c r="AJ194" s="25" t="n"/>
      <c r="AK194" s="4" t="n"/>
      <c r="AL194" s="4" t="n"/>
    </row>
    <row r="195">
      <c r="A195" s="25" t="n"/>
      <c r="B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  <c r="AA195" s="25" t="n"/>
      <c r="AB195" s="25" t="n"/>
      <c r="AC195" s="25" t="n"/>
      <c r="AD195" s="25" t="n"/>
      <c r="AE195" s="25" t="n"/>
      <c r="AF195" s="25" t="n"/>
      <c r="AG195" s="25" t="n"/>
      <c r="AH195" s="25" t="n"/>
      <c r="AI195" s="25" t="n"/>
      <c r="AJ195" s="25" t="n"/>
      <c r="AK195" s="4" t="n"/>
      <c r="AL195" s="4" t="n"/>
    </row>
    <row r="196">
      <c r="A196" s="25" t="n"/>
      <c r="B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5" t="n"/>
      <c r="AI196" s="25" t="n"/>
      <c r="AJ196" s="25" t="n"/>
      <c r="AK196" s="4" t="n"/>
      <c r="AL196" s="4" t="n"/>
    </row>
    <row r="197">
      <c r="A197" s="25" t="n"/>
      <c r="B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  <c r="AA197" s="25" t="n"/>
      <c r="AB197" s="25" t="n"/>
      <c r="AC197" s="25" t="n"/>
      <c r="AD197" s="25" t="n"/>
      <c r="AE197" s="25" t="n"/>
      <c r="AF197" s="25" t="n"/>
      <c r="AG197" s="25" t="n"/>
      <c r="AH197" s="25" t="n"/>
      <c r="AI197" s="25" t="n"/>
      <c r="AJ197" s="25" t="n"/>
      <c r="AK197" s="4" t="n"/>
      <c r="AL197" s="4" t="n"/>
    </row>
    <row r="198">
      <c r="A198" s="25" t="n"/>
      <c r="B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  <c r="AA198" s="25" t="n"/>
      <c r="AB198" s="25" t="n"/>
      <c r="AC198" s="25" t="n"/>
      <c r="AD198" s="25" t="n"/>
      <c r="AE198" s="25" t="n"/>
      <c r="AF198" s="25" t="n"/>
      <c r="AG198" s="25" t="n"/>
      <c r="AH198" s="25" t="n"/>
      <c r="AI198" s="25" t="n"/>
      <c r="AJ198" s="25" t="n"/>
      <c r="AK198" s="4" t="n"/>
      <c r="AL198" s="4" t="n"/>
    </row>
    <row r="199">
      <c r="A199" s="25" t="n"/>
      <c r="B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  <c r="AA199" s="25" t="n"/>
      <c r="AB199" s="25" t="n"/>
      <c r="AC199" s="25" t="n"/>
      <c r="AD199" s="25" t="n"/>
      <c r="AE199" s="25" t="n"/>
      <c r="AF199" s="25" t="n"/>
      <c r="AG199" s="25" t="n"/>
      <c r="AH199" s="25" t="n"/>
      <c r="AI199" s="25" t="n"/>
      <c r="AJ199" s="25" t="n"/>
      <c r="AK199" s="4" t="n"/>
      <c r="AL199" s="4" t="n"/>
    </row>
    <row r="200">
      <c r="A200" s="25" t="n"/>
      <c r="B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  <c r="AA200" s="25" t="n"/>
      <c r="AB200" s="25" t="n"/>
      <c r="AC200" s="25" t="n"/>
      <c r="AD200" s="25" t="n"/>
      <c r="AE200" s="25" t="n"/>
      <c r="AF200" s="25" t="n"/>
      <c r="AG200" s="25" t="n"/>
      <c r="AH200" s="25" t="n"/>
      <c r="AI200" s="25" t="n"/>
      <c r="AJ200" s="25" t="n"/>
      <c r="AK200" s="4" t="n"/>
      <c r="AL200" s="4" t="n"/>
    </row>
  </sheetData>
  <dataValidations count="9">
    <dataValidation sqref="I2:I131" showDropDown="0" showInputMessage="0" showErrorMessage="1" allowBlank="1" type="list">
      <formula1>下拉参数!$A$1:$A$5</formula1>
    </dataValidation>
    <dataValidation sqref="K2:K131" showDropDown="0" showInputMessage="0" showErrorMessage="1" allowBlank="1" type="list">
      <formula1>下拉参数!$B$1:$B$5</formula1>
    </dataValidation>
    <dataValidation sqref="M2:M131" showDropDown="0" showInputMessage="0" showErrorMessage="1" allowBlank="1" type="list">
      <formula1>下拉参数!$C$1:$C$4</formula1>
    </dataValidation>
    <dataValidation sqref="O2:O131" showDropDown="0" showInputMessage="0" showErrorMessage="1" allowBlank="1" type="list">
      <formula1>下拉参数!$D$1:$D$4</formula1>
    </dataValidation>
    <dataValidation sqref="Q2:Q131" showDropDown="0" showInputMessage="0" showErrorMessage="1" allowBlank="1" type="list">
      <formula1>下拉参数!$E$1:$E$4</formula1>
    </dataValidation>
    <dataValidation sqref="U2:U131" showDropDown="0" showInputMessage="0" showErrorMessage="1" allowBlank="1" type="list">
      <formula1>下拉参数!$F$1:$F$4</formula1>
    </dataValidation>
    <dataValidation sqref="W2:W131" showDropDown="0" showInputMessage="0" showErrorMessage="1" allowBlank="1" type="list">
      <formula1>下拉参数!$G$1:$G$4</formula1>
    </dataValidation>
    <dataValidation sqref="Y2:Y131" showDropDown="0" showInputMessage="0" showErrorMessage="1" allowBlank="1" type="list">
      <formula1>下拉参数!$H$1:$H$4</formula1>
    </dataValidation>
    <dataValidation sqref="AA2:AA131" showDropDown="0" showInputMessage="0" showErrorMessage="1" allowBlank="1" type="list">
      <formula1>下拉参数!$I$1:$I$3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5"/>
  <sheetViews>
    <sheetView workbookViewId="0">
      <selection activeCell="A1" sqref="A1"/>
    </sheetView>
  </sheetViews>
  <sheetFormatPr baseColWidth="8" defaultColWidth="12" defaultRowHeight="15.75" outlineLevelRow="4"/>
  <cols>
    <col width="20" customWidth="1" style="1" min="1" max="9"/>
  </cols>
  <sheetData>
    <row r="1" ht="27" customHeight="1" s="1">
      <c r="A1" s="2" t="inlineStr">
        <is>
          <t>国际会议</t>
        </is>
      </c>
      <c r="B1" s="2" t="inlineStr">
        <is>
          <t>大会报告/卫星会</t>
        </is>
      </c>
      <c r="C1" s="2" t="inlineStr">
        <is>
          <t>国家级专家</t>
        </is>
      </c>
      <c r="D1" s="2" t="inlineStr">
        <is>
          <t>战略核心产品</t>
        </is>
      </c>
      <c r="E1" s="2" t="inlineStr">
        <is>
          <t>新医院突破/进院节点</t>
        </is>
      </c>
      <c r="F1" s="2" t="inlineStr">
        <is>
          <t>增长≥20%</t>
        </is>
      </c>
      <c r="G1" s="2" t="inlineStr">
        <is>
          <t>明确新增检测量/科室/医院目标</t>
        </is>
      </c>
      <c r="H1" s="2" t="inlineStr">
        <is>
          <t>全国案例素材</t>
        </is>
      </c>
      <c r="I1" s="2" t="inlineStr">
        <is>
          <t>目标+预算+ROI复盘</t>
        </is>
      </c>
    </row>
    <row r="2" ht="14" customHeight="1" s="1">
      <c r="A2" s="3" t="inlineStr">
        <is>
          <t>国家级会议</t>
        </is>
      </c>
      <c r="B2" s="3" t="inlineStr">
        <is>
          <t>专题讲座/病例分享</t>
        </is>
      </c>
      <c r="C2" s="3" t="inlineStr">
        <is>
          <t>省级专家</t>
        </is>
      </c>
      <c r="D2" s="3" t="inlineStr">
        <is>
          <t>重点增长产品</t>
        </is>
      </c>
      <c r="E2" s="3" t="inlineStr">
        <is>
          <t>战略医院维护</t>
        </is>
      </c>
      <c r="F2" s="3" t="inlineStr">
        <is>
          <t>增长0-20%</t>
        </is>
      </c>
      <c r="G2" s="3" t="inlineStr">
        <is>
          <t>推动产品落地</t>
        </is>
      </c>
      <c r="H2" s="3" t="inlineStr">
        <is>
          <t>区域标杆案例</t>
        </is>
      </c>
      <c r="I2" s="3" t="inlineStr">
        <is>
          <t>有目标计划</t>
        </is>
      </c>
    </row>
    <row r="3" ht="14" customHeight="1" s="1">
      <c r="A3" s="3" t="inlineStr">
        <is>
          <t>省级会议</t>
        </is>
      </c>
      <c r="B3" s="3" t="inlineStr">
        <is>
          <t>圆桌讨论</t>
        </is>
      </c>
      <c r="C3" s="3" t="inlineStr">
        <is>
          <t>区域专家</t>
        </is>
      </c>
      <c r="D3" s="3" t="inlineStr">
        <is>
          <t>成熟产品</t>
        </is>
      </c>
      <c r="E3" s="3" t="inlineStr">
        <is>
          <t>区域重点医院</t>
        </is>
      </c>
      <c r="F3" s="3" t="inlineStr">
        <is>
          <t>稳定</t>
        </is>
      </c>
      <c r="G3" s="3" t="inlineStr">
        <is>
          <t>医生教育提升</t>
        </is>
      </c>
      <c r="H3" s="3" t="inlineStr">
        <is>
          <t>区域宣传</t>
        </is>
      </c>
      <c r="I3" s="3" t="inlineStr">
        <is>
          <t>简单执行</t>
        </is>
      </c>
    </row>
    <row r="4" ht="14" customHeight="1" s="1">
      <c r="A4" s="3" t="inlineStr">
        <is>
          <t>市级会议</t>
        </is>
      </c>
      <c r="B4" s="3" t="inlineStr">
        <is>
          <t>展台</t>
        </is>
      </c>
      <c r="C4" s="3" t="inlineStr">
        <is>
          <t>普通专家</t>
        </is>
      </c>
      <c r="D4" s="3" t="inlineStr">
        <is>
          <t>常规产品</t>
        </is>
      </c>
      <c r="E4" s="3" t="inlineStr">
        <is>
          <t>普通合作医院</t>
        </is>
      </c>
      <c r="F4" s="3" t="inlineStr">
        <is>
          <t>下降</t>
        </is>
      </c>
      <c r="G4" s="3" t="inlineStr">
        <is>
          <t>客户维护</t>
        </is>
      </c>
      <c r="H4" s="3" t="inlineStr">
        <is>
          <t>普通曝光</t>
        </is>
      </c>
      <c r="I4" s="3" t="n"/>
    </row>
    <row r="5" ht="14" customHeight="1" s="1">
      <c r="A5" s="3" t="inlineStr">
        <is>
          <t>院级会议</t>
        </is>
      </c>
      <c r="B5" s="3" t="inlineStr">
        <is>
          <t>物料展示</t>
        </is>
      </c>
      <c r="C5" s="3" t="n"/>
      <c r="D5" s="3" t="n"/>
      <c r="E5" s="3" t="n"/>
      <c r="F5" s="3" t="n"/>
      <c r="G5" s="3" t="n"/>
      <c r="H5" s="3" t="n"/>
      <c r="I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4"/>
  <sheetViews>
    <sheetView workbookViewId="0">
      <selection activeCell="A1" sqref="A1"/>
    </sheetView>
  </sheetViews>
  <sheetFormatPr baseColWidth="8" defaultColWidth="12" defaultRowHeight="15.75"/>
  <cols>
    <col width="20" customWidth="1" style="1" min="1" max="1"/>
    <col width="50" customWidth="1" style="1" min="2" max="2"/>
    <col width="20" customWidth="1" style="1" min="3" max="4"/>
  </cols>
  <sheetData>
    <row r="1" ht="14" customHeight="1" s="1">
      <c r="A1" s="2" t="inlineStr">
        <is>
          <t>模块</t>
        </is>
      </c>
      <c r="B1" s="2" t="inlineStr">
        <is>
          <t>评分区间/条件</t>
        </is>
      </c>
      <c r="C1" s="2" t="inlineStr">
        <is>
          <t>资源等级</t>
        </is>
      </c>
      <c r="D1" s="2" t="inlineStr">
        <is>
          <t>基础支持金额(万元)</t>
        </is>
      </c>
    </row>
    <row r="2" ht="14" customHeight="1" s="1">
      <c r="A2" s="3" t="inlineStr">
        <is>
          <t>综合评分</t>
        </is>
      </c>
      <c r="B2" s="3" t="inlineStr">
        <is>
          <t>95-100</t>
        </is>
      </c>
      <c r="C2" s="3" t="inlineStr">
        <is>
          <t>S++战略项目</t>
        </is>
      </c>
      <c r="D2" s="3" t="n">
        <v>6.5</v>
      </c>
    </row>
    <row r="3" ht="14" customHeight="1" s="1">
      <c r="A3" s="3" t="inlineStr">
        <is>
          <t>综合评分</t>
        </is>
      </c>
      <c r="B3" s="3" t="inlineStr">
        <is>
          <t>90-94</t>
        </is>
      </c>
      <c r="C3" s="3" t="inlineStr">
        <is>
          <t>S级重点项目</t>
        </is>
      </c>
      <c r="D3" s="3" t="n">
        <v>6</v>
      </c>
    </row>
    <row r="4" ht="14" customHeight="1" s="1">
      <c r="A4" s="3" t="inlineStr">
        <is>
          <t>综合评分</t>
        </is>
      </c>
      <c r="B4" s="3" t="inlineStr">
        <is>
          <t>85-89</t>
        </is>
      </c>
      <c r="C4" s="3" t="inlineStr">
        <is>
          <t>A级高价值项目</t>
        </is>
      </c>
      <c r="D4" s="3" t="n">
        <v>5.5</v>
      </c>
    </row>
    <row r="5" ht="14" customHeight="1" s="1">
      <c r="A5" s="3" t="inlineStr">
        <is>
          <t>综合评分</t>
        </is>
      </c>
      <c r="B5" s="3" t="inlineStr">
        <is>
          <t>80-84</t>
        </is>
      </c>
      <c r="C5" s="3" t="inlineStr">
        <is>
          <t>A级项目</t>
        </is>
      </c>
      <c r="D5" s="3" t="n">
        <v>5</v>
      </c>
    </row>
    <row r="6" ht="14" customHeight="1" s="1">
      <c r="A6" s="3" t="inlineStr">
        <is>
          <t>综合评分</t>
        </is>
      </c>
      <c r="B6" s="3" t="inlineStr">
        <is>
          <t>75-79</t>
        </is>
      </c>
      <c r="C6" s="3" t="inlineStr">
        <is>
          <t>B+项目</t>
        </is>
      </c>
      <c r="D6" s="3" t="n">
        <v>4.5</v>
      </c>
    </row>
    <row r="7" ht="14" customHeight="1" s="1">
      <c r="A7" s="3" t="inlineStr">
        <is>
          <t>综合评分</t>
        </is>
      </c>
      <c r="B7" s="3" t="inlineStr">
        <is>
          <t>70-74</t>
        </is>
      </c>
      <c r="C7" s="3" t="inlineStr">
        <is>
          <t>B级项目</t>
        </is>
      </c>
      <c r="D7" s="3" t="n">
        <v>4</v>
      </c>
    </row>
    <row r="8" ht="14" customHeight="1" s="1">
      <c r="A8" s="3" t="inlineStr">
        <is>
          <t>综合评分</t>
        </is>
      </c>
      <c r="B8" s="3" t="inlineStr">
        <is>
          <t>65-69</t>
        </is>
      </c>
      <c r="C8" s="3" t="inlineStr">
        <is>
          <t>B-项目</t>
        </is>
      </c>
      <c r="D8" s="3" t="n">
        <v>3</v>
      </c>
      <c r="I8" s="4" t="inlineStr">
        <is>
          <t xml:space="preserve"> </t>
        </is>
      </c>
    </row>
    <row r="9" ht="14" customHeight="1" s="1">
      <c r="A9" s="3" t="inlineStr">
        <is>
          <t>综合评分</t>
        </is>
      </c>
      <c r="B9" s="3" t="inlineStr">
        <is>
          <t>60-64</t>
        </is>
      </c>
      <c r="C9" s="3" t="inlineStr">
        <is>
          <t>C+项目</t>
        </is>
      </c>
      <c r="D9" s="3" t="n">
        <v>2</v>
      </c>
      <c r="I9" s="4" t="inlineStr">
        <is>
          <t xml:space="preserve"> </t>
        </is>
      </c>
    </row>
    <row r="10" ht="14" customHeight="1" s="1">
      <c r="A10" s="3" t="inlineStr">
        <is>
          <t>综合评分</t>
        </is>
      </c>
      <c r="B10" s="3" t="inlineStr">
        <is>
          <t>55-59</t>
        </is>
      </c>
      <c r="C10" s="3" t="inlineStr">
        <is>
          <t>C级项目</t>
        </is>
      </c>
      <c r="D10" s="3" t="n">
        <v>2</v>
      </c>
    </row>
    <row r="11" ht="14" customHeight="1" s="1">
      <c r="A11" s="3" t="inlineStr">
        <is>
          <t>综合评分</t>
        </is>
      </c>
      <c r="B11" s="3" t="inlineStr">
        <is>
          <t>50-54</t>
        </is>
      </c>
      <c r="C11" s="3" t="inlineStr">
        <is>
          <t>C-项目</t>
        </is>
      </c>
      <c r="D11" s="3" t="n">
        <v>2</v>
      </c>
    </row>
    <row r="12" ht="12" customHeight="1" s="1">
      <c r="A12" s="3" t="inlineStr">
        <is>
          <t>综合评分</t>
        </is>
      </c>
      <c r="B12" s="3" t="inlineStr">
        <is>
          <t>45-50</t>
        </is>
      </c>
      <c r="C12" s="3" t="inlineStr">
        <is>
          <t>D级项目</t>
        </is>
      </c>
      <c r="D12" s="3" t="n">
        <v>1</v>
      </c>
    </row>
    <row r="13" ht="14" customHeight="1" s="1">
      <c r="A13" s="3" t="inlineStr">
        <is>
          <t>综合评分</t>
        </is>
      </c>
      <c r="B13" s="3" t="inlineStr">
        <is>
          <t>40-45</t>
        </is>
      </c>
      <c r="C13" s="3" t="inlineStr">
        <is>
          <t>D-级项目</t>
        </is>
      </c>
      <c r="D13" s="3" t="n">
        <v>1</v>
      </c>
    </row>
    <row r="14" ht="14" customHeight="1" s="1">
      <c r="A14" s="3" t="inlineStr">
        <is>
          <t>综合评分</t>
        </is>
      </c>
      <c r="B14" s="3" t="inlineStr">
        <is>
          <t>&lt;40</t>
        </is>
      </c>
      <c r="C14" s="3" t="inlineStr">
        <is>
          <t>E级项目</t>
        </is>
      </c>
      <c r="D14" s="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8"/>
  <sheetViews>
    <sheetView workbookViewId="0">
      <selection activeCell="B12" sqref="B12"/>
    </sheetView>
  </sheetViews>
  <sheetFormatPr baseColWidth="8" defaultColWidth="12" defaultRowHeight="15.75" outlineLevelRow="7"/>
  <cols>
    <col width="27" customWidth="1" style="1" min="1" max="1"/>
    <col width="49" customWidth="1" style="1" min="2" max="2"/>
  </cols>
  <sheetData>
    <row r="1" ht="22" customHeight="1" s="1">
      <c r="A1" s="2" t="inlineStr">
        <is>
          <t>模块</t>
        </is>
      </c>
      <c r="B1" s="2" t="inlineStr">
        <is>
          <t>公式逻辑</t>
        </is>
      </c>
    </row>
    <row r="2" ht="22" customHeight="1" s="1">
      <c r="A2" s="3" t="inlineStr">
        <is>
          <t>医学价值</t>
        </is>
      </c>
      <c r="B2" s="3" t="inlineStr">
        <is>
          <t>会议级别+学术权益+专家影响力，满分30</t>
        </is>
      </c>
    </row>
    <row r="3" ht="22" customHeight="1" s="1">
      <c r="A3" s="3" t="inlineStr">
        <is>
          <t>战略价值</t>
        </is>
      </c>
      <c r="B3" s="3" t="inlineStr">
        <is>
          <t>产品战略价值+医院战略价值，满分20</t>
        </is>
      </c>
    </row>
    <row r="4" ht="22" customHeight="1" s="1">
      <c r="A4" s="3" t="inlineStr">
        <is>
          <t>商业价值</t>
        </is>
      </c>
      <c r="B4" s="3" t="inlineStr">
        <is>
          <t>销量规模+增长趋势+增长机会，满分35</t>
        </is>
      </c>
    </row>
    <row r="5" ht="22" customHeight="1" s="1">
      <c r="A5" s="3" t="inlineStr">
        <is>
          <t>传播价值</t>
        </is>
      </c>
      <c r="B5" s="3" t="inlineStr">
        <is>
          <t>传播价值等级，满分5</t>
        </is>
      </c>
    </row>
    <row r="6" ht="22" customHeight="1" s="1">
      <c r="A6" s="3" t="inlineStr">
        <is>
          <t>执行质量</t>
        </is>
      </c>
      <c r="B6" s="3" t="inlineStr">
        <is>
          <t>执行质量等级，满分5</t>
        </is>
      </c>
    </row>
    <row r="7" ht="22" customHeight="1" s="1">
      <c r="A7" s="3" t="inlineStr">
        <is>
          <t>综合评分</t>
        </is>
      </c>
      <c r="B7" s="3" t="inlineStr">
        <is>
          <t>五项合计=100分</t>
        </is>
      </c>
    </row>
    <row r="8" ht="22" customHeight="1" s="1">
      <c r="A8" s="3" t="inlineStr">
        <is>
          <t>预算原则</t>
        </is>
      </c>
      <c r="B8" s="3" t="inlineStr">
        <is>
          <t>预算不参与评分，作为审批条件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2026-07-16T01:21:00Z</dcterms:created>
  <dcterms:modified xmlns:dcterms="http://purl.org/dc/terms/" xmlns:xsi="http://www.w3.org/2001/XMLSchema-instance" xsi:type="dcterms:W3CDTF">2026-07-17T06:37:56Z</dcterms:modified>
  <cp:lastModifiedBy>使用参数控制rqwer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47CB96D665F749A1B809B4CA25325E6D_12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